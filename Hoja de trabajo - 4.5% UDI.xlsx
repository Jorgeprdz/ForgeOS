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fileVersion appName="xl" lastEdited="7" lowestEdited="6" rupBuild="30026"/>
  <workbookPr/>
  <ns1:AlternateContent>
    <ns1:Choice Requires="x15">
      <ns2:absPath url="https://d.docs.live.net/074e684de7909625/Documentos/"/>
    </ns1:Choice>
  </ns1:AlternateContent>
  <ns3:revisionPtr revIDLastSave="0" documentId="8_{A8D765EF-918F-6047-976A-2AEC5ED531AB}" ns4:coauthVersionLast="47" ns4:coauthVersionMax="47" ns5:uidLastSave="{00000000-0000-0000-0000-000000000000}"/>
  <bookViews>
    <workbookView xWindow="-200" yWindow="580" windowWidth="16560" windowHeight="18740" activeTab="3" ns6:uid="{00000000-000D-0000-FFFF-FFFF00000000}"/>
  </bookViews>
  <sheets>
    <sheet name="SB" sheetId="6" ns7:id="rId1"/>
    <sheet name="VM" sheetId="1" ns7:id="rId2"/>
    <sheet name="REALIZA" sheetId="3" ns7:id="rId3"/>
    <sheet name="IMAGINA" sheetId="2" ns7:id="rId4"/>
    <sheet name="Hoja2" sheetId="10" ns7:id="rId5"/>
    <sheet name="ORVI" sheetId="4" ns7:id="rId6"/>
    <sheet name="Hoja5" sheetId="5" ns7:id="rId7"/>
    <sheet name="Hoja1" sheetId="9" ns7:id="rId8"/>
    <sheet name="Hoja3" sheetId="8" ns7:id="rId9"/>
    <sheet name="Hoja4" sheetId="11" ns7:id="rId10"/>
  </sheets>
  <calcPr calcId="191028" calcMode="auto" fullCalcOnLoad="1" forceFullCalc="1"/>
  <extLst>
    <ext uri="{140A7094-0E35-4892-8432-C4D2E57EDEB5}">
      <ns8:workbookPr chartTrackingRefBase="1"/>
    </ext>
    <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  <ns9:feature name="microsoft.com:LAMBDA_WF"/>
        <ns9:feature name="microsoft.com:ARRAYTEXT_WF"/>
      </ns9:calcFeatures>
    </ext>
  </extLst>
</workbook>
</file>

<file path=xl/calcChain.xml><?xml version="1.0" encoding="utf-8"?>
<calcChain xmlns="http://schemas.openxmlformats.org/spreadsheetml/2006/main">
  <c r="G4" i="1" l="1"/>
  <c r="I6" i="2"/>
  <c r="I7" i="2"/>
  <c r="E27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E28" i="2"/>
  <c r="E29" i="2"/>
  <c r="E30" i="2"/>
  <c r="G29" i="2"/>
  <c r="G30" i="2"/>
  <c r="L7" i="2"/>
  <c r="C10" i="6"/>
  <c r="C11" i="6"/>
  <c r="C12" i="6"/>
  <c r="C13" i="6"/>
  <c r="C14" i="6"/>
  <c r="C15" i="6"/>
  <c r="C9" i="6"/>
  <c r="P13" i="6"/>
  <c r="N10" i="6"/>
  <c r="N11" i="6"/>
  <c r="N12" i="6"/>
  <c r="K16" i="6"/>
  <c r="K17" i="6"/>
  <c r="K18" i="6"/>
  <c r="K19" i="6"/>
  <c r="K20" i="6"/>
  <c r="K21" i="6"/>
  <c r="K22" i="6"/>
  <c r="K23" i="6"/>
  <c r="K24" i="6"/>
  <c r="K25" i="6"/>
  <c r="N9" i="6"/>
  <c r="H26" i="6"/>
  <c r="E21" i="2"/>
  <c r="E22" i="2"/>
  <c r="E23" i="2"/>
  <c r="E24" i="2"/>
  <c r="E25" i="2"/>
  <c r="E26" i="2"/>
  <c r="I18" i="11"/>
  <c r="H20" i="11"/>
  <c r="G20" i="11"/>
  <c r="F18" i="11"/>
  <c r="G5" i="9"/>
  <c r="O9" i="6"/>
  <c r="M4" i="4"/>
  <c r="F5" i="1"/>
  <c r="F4" i="1"/>
  <c r="F9" i="1"/>
  <c r="D4" i="4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E16" i="2"/>
  <c r="E17" i="2"/>
  <c r="E18" i="2"/>
  <c r="E19" i="2"/>
  <c r="E20" i="2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E5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C6" i="2"/>
  <c r="C7" i="2"/>
  <c r="C5" i="4"/>
  <c r="C6" i="4"/>
  <c r="C7" i="4"/>
  <c r="I5" i="4"/>
  <c r="O5" i="4"/>
  <c r="C10" i="1"/>
  <c r="M5" i="2"/>
  <c r="M10" i="6"/>
  <c r="I9" i="6"/>
  <c r="I10" i="6"/>
  <c r="I11" i="6"/>
  <c r="I12" i="6"/>
  <c r="I13" i="6"/>
  <c r="I14" i="6"/>
  <c r="I15" i="6"/>
  <c r="E9" i="6"/>
  <c r="E10" i="6"/>
  <c r="E11" i="6"/>
  <c r="E12" i="6"/>
  <c r="E13" i="6"/>
  <c r="E14" i="6"/>
  <c r="E15" i="6"/>
  <c r="D9" i="6"/>
  <c r="D10" i="6"/>
  <c r="D11" i="6"/>
  <c r="D12" i="6"/>
  <c r="D13" i="6"/>
  <c r="D14" i="6"/>
  <c r="D15" i="6"/>
  <c r="B9" i="6"/>
  <c r="B10" i="6"/>
  <c r="B11" i="6"/>
  <c r="B12" i="6"/>
  <c r="B13" i="6"/>
  <c r="B14" i="6"/>
  <c r="B15" i="6"/>
  <c r="O4" i="4"/>
  <c r="E6" i="2"/>
  <c r="E7" i="2"/>
  <c r="E8" i="2"/>
  <c r="E9" i="2"/>
  <c r="E10" i="2"/>
  <c r="E11" i="2"/>
  <c r="E12" i="2"/>
  <c r="E13" i="2"/>
  <c r="E14" i="2"/>
  <c r="E15" i="2"/>
  <c r="E5" i="2"/>
  <c r="D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L10" i="1"/>
  <c r="F10" i="1"/>
  <c r="L11" i="1"/>
  <c r="K11" i="1"/>
  <c r="S16" i="1"/>
  <c r="K9" i="6"/>
  <c r="J8" i="6"/>
  <c r="F8" i="6"/>
  <c r="H4" i="4"/>
  <c r="E64" i="4"/>
  <c r="H5" i="2"/>
  <c r="E64" i="2"/>
  <c r="F5" i="2"/>
  <c r="H18" i="3"/>
  <c r="F46" i="3"/>
  <c r="D4" i="3"/>
  <c r="E27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D46" i="3"/>
  <c r="H46" i="3"/>
  <c r="H13" i="3"/>
  <c r="F44" i="3"/>
  <c r="H23" i="3"/>
  <c r="F48" i="3"/>
  <c r="D19" i="3"/>
  <c r="D20" i="3"/>
  <c r="D21" i="3"/>
  <c r="D22" i="3"/>
  <c r="D23" i="3"/>
  <c r="F36" i="3"/>
  <c r="H36" i="3"/>
  <c r="F34" i="3"/>
  <c r="F32" i="3"/>
  <c r="H4" i="3"/>
  <c r="H5" i="3"/>
  <c r="H6" i="3"/>
  <c r="H7" i="3"/>
  <c r="H8" i="3"/>
  <c r="H9" i="3"/>
  <c r="H10" i="3"/>
  <c r="H11" i="3"/>
  <c r="H12" i="3"/>
  <c r="H14" i="3"/>
  <c r="H15" i="3"/>
  <c r="H16" i="3"/>
  <c r="H17" i="3"/>
  <c r="H19" i="3"/>
  <c r="H20" i="3"/>
  <c r="H21" i="3"/>
  <c r="H22" i="3"/>
  <c r="L23" i="3"/>
  <c r="F21" i="3"/>
  <c r="F22" i="3"/>
  <c r="F23" i="3"/>
  <c r="L21" i="3"/>
  <c r="L22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4" i="3"/>
  <c r="F19" i="3"/>
  <c r="F20" i="3"/>
  <c r="D9" i="1"/>
  <c r="G9" i="1"/>
  <c r="K9" i="1"/>
  <c r="S14" i="1"/>
  <c r="D32" i="3"/>
  <c r="E39" i="3"/>
  <c r="D36" i="3"/>
  <c r="D44" i="3"/>
  <c r="H44" i="3"/>
  <c r="D34" i="3"/>
  <c r="D48" i="3"/>
  <c r="H48" i="3"/>
  <c r="F62" i="2"/>
  <c r="K10" i="1"/>
  <c r="S15" i="1"/>
  <c r="L12" i="1"/>
  <c r="L13" i="1"/>
  <c r="K59" i="2"/>
  <c r="K60" i="2"/>
  <c r="K35" i="2"/>
  <c r="K36" i="2"/>
  <c r="K37" i="2"/>
  <c r="K38" i="2"/>
  <c r="K39" i="2"/>
  <c r="K40" i="2"/>
  <c r="K41" i="2"/>
  <c r="K42" i="2"/>
  <c r="K43" i="2"/>
  <c r="M11" i="6"/>
  <c r="O10" i="6"/>
  <c r="E66" i="2"/>
  <c r="P10" i="6"/>
  <c r="K10" i="6"/>
  <c r="J9" i="6"/>
  <c r="F9" i="6"/>
  <c r="M12" i="6"/>
  <c r="O12" i="6"/>
  <c r="O11" i="6"/>
  <c r="F10" i="6"/>
  <c r="J10" i="6"/>
  <c r="K11" i="6"/>
  <c r="P11" i="6"/>
  <c r="H10" i="6"/>
  <c r="H11" i="6"/>
  <c r="P12" i="6"/>
  <c r="F11" i="6"/>
  <c r="J11" i="6"/>
  <c r="K12" i="6"/>
  <c r="F12" i="6"/>
  <c r="H12" i="6"/>
  <c r="K13" i="6"/>
  <c r="J12" i="6"/>
  <c r="F13" i="6"/>
  <c r="J13" i="6"/>
  <c r="K14" i="6"/>
  <c r="H13" i="6"/>
  <c r="K15" i="6"/>
  <c r="H14" i="6"/>
  <c r="F14" i="6"/>
  <c r="J14" i="6"/>
  <c r="F15" i="6"/>
  <c r="J15" i="6"/>
  <c r="H15" i="6"/>
  <c r="P9" i="6"/>
  <c r="F26" i="6"/>
  <c r="F6" i="2"/>
  <c r="H6" i="2"/>
  <c r="E66" i="4"/>
  <c r="M5" i="4"/>
  <c r="H5" i="4"/>
  <c r="I6" i="4"/>
  <c r="D5" i="4"/>
  <c r="C8" i="4"/>
  <c r="D6" i="4"/>
  <c r="H7" i="2"/>
  <c r="F7" i="2"/>
  <c r="I8" i="2"/>
  <c r="M7" i="2"/>
  <c r="L8" i="2"/>
  <c r="M6" i="2"/>
  <c r="D7" i="2"/>
  <c r="C8" i="2"/>
  <c r="D6" i="2"/>
  <c r="I13" i="1"/>
  <c r="F13" i="1"/>
  <c r="L14" i="1"/>
  <c r="K13" i="1"/>
  <c r="S18" i="1"/>
  <c r="F11" i="1"/>
  <c r="D10" i="1"/>
  <c r="G10" i="1"/>
  <c r="K12" i="1"/>
  <c r="S17" i="1"/>
  <c r="F12" i="1"/>
  <c r="L30" i="1"/>
  <c r="C11" i="1"/>
  <c r="F6" i="4"/>
  <c r="H6" i="4"/>
  <c r="O6" i="4"/>
  <c r="I7" i="4"/>
  <c r="M6" i="4"/>
  <c r="C9" i="4"/>
  <c r="F8" i="2"/>
  <c r="H8" i="2"/>
  <c r="I9" i="2"/>
  <c r="L9" i="2"/>
  <c r="M8" i="2"/>
  <c r="D8" i="2"/>
  <c r="C9" i="2"/>
  <c r="K14" i="1"/>
  <c r="S19" i="1"/>
  <c r="F14" i="1"/>
  <c r="L15" i="1"/>
  <c r="D11" i="1"/>
  <c r="C12" i="1"/>
  <c r="F7" i="4"/>
  <c r="M7" i="4"/>
  <c r="I8" i="4"/>
  <c r="O7" i="4"/>
  <c r="H7" i="4"/>
  <c r="D7" i="4"/>
  <c r="C10" i="4"/>
  <c r="F9" i="2"/>
  <c r="H9" i="2"/>
  <c r="I10" i="2"/>
  <c r="M9" i="2"/>
  <c r="L10" i="2"/>
  <c r="D9" i="2"/>
  <c r="C10" i="2"/>
  <c r="I15" i="1"/>
  <c r="L16" i="1"/>
  <c r="F15" i="1"/>
  <c r="K15" i="1"/>
  <c r="S20" i="1"/>
  <c r="C13" i="1"/>
  <c r="D12" i="1"/>
  <c r="G12" i="1"/>
  <c r="G11" i="1"/>
  <c r="K8" i="4"/>
  <c r="O8" i="4"/>
  <c r="H8" i="4"/>
  <c r="M8" i="4"/>
  <c r="I9" i="4"/>
  <c r="F8" i="4"/>
  <c r="D8" i="4"/>
  <c r="C11" i="4"/>
  <c r="H10" i="2"/>
  <c r="F10" i="2"/>
  <c r="I11" i="2"/>
  <c r="L11" i="2"/>
  <c r="M10" i="2"/>
  <c r="D10" i="2"/>
  <c r="C11" i="2"/>
  <c r="K16" i="1"/>
  <c r="F16" i="1"/>
  <c r="L17" i="1"/>
  <c r="D13" i="1"/>
  <c r="C14" i="1"/>
  <c r="O9" i="4"/>
  <c r="F9" i="4"/>
  <c r="I10" i="4"/>
  <c r="M9" i="4"/>
  <c r="H9" i="4"/>
  <c r="D9" i="4"/>
  <c r="C12" i="4"/>
  <c r="H11" i="2"/>
  <c r="F11" i="2"/>
  <c r="I12" i="2"/>
  <c r="L12" i="2"/>
  <c r="M11" i="2"/>
  <c r="C12" i="2"/>
  <c r="D11" i="2"/>
  <c r="K17" i="1"/>
  <c r="I17" i="1"/>
  <c r="F17" i="1"/>
  <c r="L18" i="1"/>
  <c r="D14" i="1"/>
  <c r="G14" i="1"/>
  <c r="C15" i="1"/>
  <c r="G13" i="1"/>
  <c r="H10" i="4"/>
  <c r="O10" i="4"/>
  <c r="I11" i="4"/>
  <c r="M10" i="4"/>
  <c r="F10" i="4"/>
  <c r="D10" i="4"/>
  <c r="C13" i="4"/>
  <c r="I13" i="2"/>
  <c r="H12" i="2"/>
  <c r="F12" i="2"/>
  <c r="L13" i="2"/>
  <c r="M12" i="2"/>
  <c r="C13" i="2"/>
  <c r="D12" i="2"/>
  <c r="K18" i="1"/>
  <c r="F18" i="1"/>
  <c r="L19" i="1"/>
  <c r="D15" i="1"/>
  <c r="C16" i="1"/>
  <c r="H11" i="4"/>
  <c r="I12" i="4"/>
  <c r="M11" i="4"/>
  <c r="O11" i="4"/>
  <c r="F11" i="4"/>
  <c r="D11" i="4"/>
  <c r="C14" i="4"/>
  <c r="I14" i="2"/>
  <c r="F13" i="2"/>
  <c r="H13" i="2"/>
  <c r="M13" i="2"/>
  <c r="L14" i="2"/>
  <c r="D13" i="2"/>
  <c r="C14" i="2"/>
  <c r="C15" i="2"/>
  <c r="C16" i="2"/>
  <c r="C17" i="2"/>
  <c r="C18" i="2"/>
  <c r="C19" i="2"/>
  <c r="K19" i="1"/>
  <c r="F19" i="1"/>
  <c r="I19" i="1"/>
  <c r="L20" i="1"/>
  <c r="D16" i="1"/>
  <c r="G16" i="1"/>
  <c r="C17" i="1"/>
  <c r="G15" i="1"/>
  <c r="I13" i="4"/>
  <c r="M12" i="4"/>
  <c r="H12" i="4"/>
  <c r="F12" i="4"/>
  <c r="O12" i="4"/>
  <c r="D12" i="4"/>
  <c r="C15" i="4"/>
  <c r="F14" i="2"/>
  <c r="H14" i="2"/>
  <c r="I15" i="2"/>
  <c r="L15" i="2"/>
  <c r="M14" i="2"/>
  <c r="D14" i="2"/>
  <c r="F20" i="1"/>
  <c r="L21" i="1"/>
  <c r="K20" i="1"/>
  <c r="D17" i="1"/>
  <c r="C18" i="1"/>
  <c r="F13" i="4"/>
  <c r="O13" i="4"/>
  <c r="K13" i="4"/>
  <c r="M13" i="4"/>
  <c r="H13" i="4"/>
  <c r="I14" i="4"/>
  <c r="D13" i="4"/>
  <c r="C16" i="4"/>
  <c r="I16" i="2"/>
  <c r="H15" i="2"/>
  <c r="F15" i="2"/>
  <c r="L16" i="2"/>
  <c r="M15" i="2"/>
  <c r="D15" i="2"/>
  <c r="L22" i="1"/>
  <c r="K21" i="1"/>
  <c r="I21" i="1"/>
  <c r="F21" i="1"/>
  <c r="C19" i="1"/>
  <c r="D18" i="1"/>
  <c r="G18" i="1"/>
  <c r="G17" i="1"/>
  <c r="H14" i="4"/>
  <c r="O14" i="4"/>
  <c r="I15" i="4"/>
  <c r="F14" i="4"/>
  <c r="D14" i="4"/>
  <c r="C17" i="4"/>
  <c r="F16" i="2"/>
  <c r="H16" i="2"/>
  <c r="I17" i="2"/>
  <c r="L17" i="2"/>
  <c r="M16" i="2"/>
  <c r="Q15" i="2"/>
  <c r="D16" i="2"/>
  <c r="L23" i="1"/>
  <c r="F22" i="1"/>
  <c r="K22" i="1"/>
  <c r="C20" i="1"/>
  <c r="D19" i="1"/>
  <c r="G19" i="1"/>
  <c r="I16" i="4"/>
  <c r="F15" i="4"/>
  <c r="H15" i="4"/>
  <c r="D15" i="4"/>
  <c r="C18" i="4"/>
  <c r="H17" i="2"/>
  <c r="I18" i="2"/>
  <c r="F17" i="2"/>
  <c r="L18" i="2"/>
  <c r="M17" i="2"/>
  <c r="D17" i="2"/>
  <c r="L24" i="1"/>
  <c r="F23" i="1"/>
  <c r="I23" i="1"/>
  <c r="K23" i="1"/>
  <c r="D20" i="1"/>
  <c r="G20" i="1"/>
  <c r="C21" i="1"/>
  <c r="F16" i="4"/>
  <c r="H16" i="4"/>
  <c r="I17" i="4"/>
  <c r="D16" i="4"/>
  <c r="C19" i="4"/>
  <c r="F18" i="2"/>
  <c r="H18" i="2"/>
  <c r="I19" i="2"/>
  <c r="M18" i="2"/>
  <c r="L19" i="2"/>
  <c r="D18" i="2"/>
  <c r="F24" i="1"/>
  <c r="K24" i="1"/>
  <c r="L25" i="1"/>
  <c r="D21" i="1"/>
  <c r="G21" i="1"/>
  <c r="C22" i="1"/>
  <c r="I18" i="4"/>
  <c r="F17" i="4"/>
  <c r="H17" i="4"/>
  <c r="D17" i="4"/>
  <c r="C20" i="4"/>
  <c r="H19" i="2"/>
  <c r="I20" i="2"/>
  <c r="F19" i="2"/>
  <c r="L20" i="2"/>
  <c r="M19" i="2"/>
  <c r="D19" i="2"/>
  <c r="C62" i="2"/>
  <c r="L26" i="1"/>
  <c r="K25" i="1"/>
  <c r="F25" i="1"/>
  <c r="I25" i="1"/>
  <c r="C23" i="1"/>
  <c r="D22" i="1"/>
  <c r="G22" i="1"/>
  <c r="F18" i="4"/>
  <c r="F56" i="4"/>
  <c r="H18" i="4"/>
  <c r="K18" i="4"/>
  <c r="I19" i="4"/>
  <c r="M18" i="4"/>
  <c r="D18" i="4"/>
  <c r="C21" i="4"/>
  <c r="I21" i="2"/>
  <c r="H20" i="2"/>
  <c r="D20" i="2"/>
  <c r="F20" i="2"/>
  <c r="L21" i="2"/>
  <c r="M20" i="2"/>
  <c r="F26" i="1"/>
  <c r="K26" i="1"/>
  <c r="L27" i="1"/>
  <c r="D23" i="1"/>
  <c r="G23" i="1"/>
  <c r="C24" i="1"/>
  <c r="F19" i="4"/>
  <c r="I20" i="4"/>
  <c r="H19" i="4"/>
  <c r="D19" i="4"/>
  <c r="C22" i="4"/>
  <c r="D21" i="2"/>
  <c r="I22" i="2"/>
  <c r="H21" i="2"/>
  <c r="F21" i="2"/>
  <c r="Q20" i="2"/>
  <c r="L22" i="2"/>
  <c r="M21" i="2"/>
  <c r="F27" i="1"/>
  <c r="L28" i="1"/>
  <c r="K27" i="1"/>
  <c r="C25" i="1"/>
  <c r="D24" i="1"/>
  <c r="G24" i="1"/>
  <c r="H20" i="4"/>
  <c r="I21" i="4"/>
  <c r="F20" i="4"/>
  <c r="M20" i="4"/>
  <c r="D20" i="4"/>
  <c r="C23" i="4"/>
  <c r="H22" i="2"/>
  <c r="D22" i="2"/>
  <c r="F22" i="2"/>
  <c r="I23" i="2"/>
  <c r="M22" i="2"/>
  <c r="L23" i="2"/>
  <c r="I28" i="1"/>
  <c r="F28" i="1"/>
  <c r="F29" i="1"/>
  <c r="K28" i="1"/>
  <c r="D25" i="1"/>
  <c r="G25" i="1"/>
  <c r="C26" i="1"/>
  <c r="H21" i="4"/>
  <c r="F21" i="4"/>
  <c r="I22" i="4"/>
  <c r="D21" i="4"/>
  <c r="H23" i="2"/>
  <c r="F23" i="2"/>
  <c r="I24" i="2"/>
  <c r="D23" i="2"/>
  <c r="L24" i="2"/>
  <c r="M23" i="2"/>
  <c r="I30" i="1"/>
  <c r="D32" i="1"/>
  <c r="C27" i="1"/>
  <c r="D26" i="1"/>
  <c r="G26" i="1"/>
  <c r="F22" i="4"/>
  <c r="H22" i="4"/>
  <c r="I23" i="4"/>
  <c r="D22" i="4"/>
  <c r="F24" i="2"/>
  <c r="H24" i="2"/>
  <c r="I25" i="2"/>
  <c r="D24" i="2"/>
  <c r="M24" i="2"/>
  <c r="L25" i="2"/>
  <c r="C28" i="1"/>
  <c r="D28" i="1"/>
  <c r="D27" i="1"/>
  <c r="G27" i="1"/>
  <c r="K23" i="4"/>
  <c r="M23" i="4"/>
  <c r="F23" i="4"/>
  <c r="F58" i="4"/>
  <c r="H23" i="4"/>
  <c r="I24" i="4"/>
  <c r="P23" i="4"/>
  <c r="D23" i="4"/>
  <c r="D51" i="4"/>
  <c r="D25" i="2"/>
  <c r="H25" i="2"/>
  <c r="I26" i="2"/>
  <c r="F25" i="2"/>
  <c r="L26" i="2"/>
  <c r="M25" i="2"/>
  <c r="G28" i="1"/>
  <c r="G29" i="1"/>
  <c r="C30" i="1"/>
  <c r="F24" i="4"/>
  <c r="H24" i="4"/>
  <c r="I25" i="4"/>
  <c r="E51" i="4"/>
  <c r="D56" i="4"/>
  <c r="D26" i="2"/>
  <c r="H26" i="2"/>
  <c r="I27" i="2"/>
  <c r="F26" i="2"/>
  <c r="L27" i="2"/>
  <c r="M26" i="2"/>
  <c r="M25" i="4"/>
  <c r="H25" i="4"/>
  <c r="I26" i="4"/>
  <c r="F25" i="4"/>
  <c r="D58" i="4"/>
  <c r="H56" i="4"/>
  <c r="I28" i="2"/>
  <c r="D27" i="2"/>
  <c r="F27" i="2"/>
  <c r="H27" i="2"/>
  <c r="L28" i="2"/>
  <c r="M27" i="2"/>
  <c r="D60" i="4"/>
  <c r="H58" i="4"/>
  <c r="I27" i="4"/>
  <c r="F26" i="4"/>
  <c r="H26" i="4"/>
  <c r="M26" i="4"/>
  <c r="F28" i="2"/>
  <c r="I29" i="2"/>
  <c r="D28" i="2"/>
  <c r="H28" i="2"/>
  <c r="M28" i="2"/>
  <c r="L29" i="2"/>
  <c r="I28" i="4"/>
  <c r="F27" i="4"/>
  <c r="H27" i="4"/>
  <c r="F29" i="2"/>
  <c r="D29" i="2"/>
  <c r="H29" i="2"/>
  <c r="I30" i="2"/>
  <c r="M29" i="2"/>
  <c r="L30" i="2"/>
  <c r="H28" i="4"/>
  <c r="F28" i="4"/>
  <c r="F60" i="4"/>
  <c r="H60" i="4"/>
  <c r="I29" i="4"/>
  <c r="M28" i="4"/>
  <c r="K28" i="4"/>
  <c r="H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F30" i="2"/>
  <c r="D30" i="2"/>
  <c r="D62" i="2"/>
  <c r="M30" i="2"/>
  <c r="L31" i="2"/>
  <c r="I30" i="4"/>
  <c r="F29" i="4"/>
  <c r="H29" i="4"/>
  <c r="R5" i="2"/>
  <c r="N5" i="2"/>
  <c r="O5" i="2"/>
  <c r="P6" i="2"/>
  <c r="M31" i="2"/>
  <c r="L32" i="2"/>
  <c r="F30" i="4"/>
  <c r="H30" i="4"/>
  <c r="I31" i="4"/>
  <c r="M30" i="4"/>
  <c r="P7" i="2"/>
  <c r="N6" i="2"/>
  <c r="O6" i="2"/>
  <c r="L33" i="2"/>
  <c r="M32" i="2"/>
  <c r="M31" i="4"/>
  <c r="I32" i="4"/>
  <c r="F31" i="4"/>
  <c r="H31" i="4"/>
  <c r="P8" i="2"/>
  <c r="N7" i="2"/>
  <c r="O7" i="2"/>
  <c r="M33" i="2"/>
  <c r="L34" i="2"/>
  <c r="I33" i="4"/>
  <c r="H32" i="4"/>
  <c r="F32" i="4"/>
  <c r="P9" i="2"/>
  <c r="N8" i="2"/>
  <c r="O8" i="2"/>
  <c r="M34" i="2"/>
  <c r="L59" i="2"/>
  <c r="L35" i="2"/>
  <c r="M33" i="4"/>
  <c r="I34" i="4"/>
  <c r="K33" i="4"/>
  <c r="F33" i="4"/>
  <c r="H33" i="4"/>
  <c r="P10" i="2"/>
  <c r="N9" i="2"/>
  <c r="O9" i="2"/>
  <c r="L36" i="2"/>
  <c r="M35" i="2"/>
  <c r="M59" i="2"/>
  <c r="L60" i="2"/>
  <c r="M60" i="2"/>
  <c r="I35" i="4"/>
  <c r="F34" i="4"/>
  <c r="H34" i="4"/>
  <c r="N10" i="2"/>
  <c r="P11" i="2"/>
  <c r="O10" i="2"/>
  <c r="L37" i="2"/>
  <c r="M36" i="2"/>
  <c r="M35" i="4"/>
  <c r="I36" i="4"/>
  <c r="H35" i="4"/>
  <c r="F35" i="4"/>
  <c r="N11" i="2"/>
  <c r="P12" i="2"/>
  <c r="O11" i="2"/>
  <c r="M37" i="2"/>
  <c r="L38" i="2"/>
  <c r="I37" i="4"/>
  <c r="H36" i="4"/>
  <c r="F36" i="4"/>
  <c r="M36" i="4"/>
  <c r="N12" i="2"/>
  <c r="P13" i="2"/>
  <c r="O12" i="2"/>
  <c r="L39" i="2"/>
  <c r="M38" i="2"/>
  <c r="M37" i="4"/>
  <c r="F37" i="4"/>
  <c r="H37" i="4"/>
  <c r="I38" i="4"/>
  <c r="N13" i="2"/>
  <c r="P14" i="2"/>
  <c r="O13" i="2"/>
  <c r="L40" i="2"/>
  <c r="M39" i="2"/>
  <c r="I39" i="4"/>
  <c r="H38" i="4"/>
  <c r="M38" i="4"/>
  <c r="F38" i="4"/>
  <c r="N14" i="2"/>
  <c r="P15" i="2"/>
  <c r="O14" i="2"/>
  <c r="M40" i="2"/>
  <c r="L41" i="2"/>
  <c r="I40" i="4"/>
  <c r="F39" i="4"/>
  <c r="H39" i="4"/>
  <c r="M39" i="4"/>
  <c r="P16" i="2"/>
  <c r="N15" i="2"/>
  <c r="O15" i="2"/>
  <c r="R15" i="2"/>
  <c r="L42" i="2"/>
  <c r="M41" i="2"/>
  <c r="H40" i="4"/>
  <c r="I41" i="4"/>
  <c r="F40" i="4"/>
  <c r="M40" i="4"/>
  <c r="P17" i="2"/>
  <c r="N16" i="2"/>
  <c r="O16" i="2"/>
  <c r="L43" i="2"/>
  <c r="M43" i="2"/>
  <c r="M42" i="2"/>
  <c r="H41" i="4"/>
  <c r="F41" i="4"/>
  <c r="I42" i="4"/>
  <c r="N17" i="2"/>
  <c r="P18" i="2"/>
  <c r="O17" i="2"/>
  <c r="I43" i="4"/>
  <c r="F42" i="4"/>
  <c r="H42" i="4"/>
  <c r="N18" i="2"/>
  <c r="P19" i="2"/>
  <c r="O18" i="2"/>
  <c r="F43" i="4"/>
  <c r="H43" i="4"/>
  <c r="I44" i="4"/>
  <c r="N19" i="2"/>
  <c r="P20" i="2"/>
  <c r="O19" i="2"/>
  <c r="F44" i="4"/>
  <c r="I45" i="4"/>
  <c r="H44" i="4"/>
  <c r="N20" i="2"/>
  <c r="P21" i="2"/>
  <c r="O20" i="2"/>
  <c r="R20" i="2"/>
  <c r="F45" i="4"/>
  <c r="H45" i="4"/>
  <c r="I46" i="4"/>
  <c r="P22" i="2"/>
  <c r="N21" i="2"/>
  <c r="O21" i="2"/>
  <c r="M46" i="4"/>
  <c r="F46" i="4"/>
  <c r="H46" i="4"/>
  <c r="I47" i="4"/>
  <c r="P23" i="2"/>
  <c r="N22" i="2"/>
  <c r="O22" i="2"/>
  <c r="H47" i="4"/>
  <c r="I48" i="4"/>
  <c r="F47" i="4"/>
  <c r="N23" i="2"/>
  <c r="P24" i="2"/>
  <c r="O23" i="2"/>
  <c r="H48" i="4"/>
  <c r="I49" i="4"/>
  <c r="F48" i="4"/>
  <c r="M48" i="4"/>
  <c r="N24" i="2"/>
  <c r="P25" i="2"/>
  <c r="O24" i="2"/>
  <c r="H49" i="4"/>
  <c r="F49" i="4"/>
  <c r="N25" i="2"/>
  <c r="P26" i="2"/>
  <c r="O25" i="2"/>
  <c r="R25" i="2"/>
  <c r="N26" i="2"/>
  <c r="P27" i="2"/>
  <c r="O26" i="2"/>
  <c r="N27" i="2"/>
  <c r="P28" i="2"/>
  <c r="O27" i="2"/>
  <c r="N28" i="2"/>
  <c r="P29" i="2"/>
  <c r="O28" i="2"/>
  <c r="P30" i="2"/>
  <c r="N29" i="2"/>
  <c r="O29" i="2"/>
  <c r="P31" i="2"/>
  <c r="N30" i="2"/>
  <c r="O30" i="2"/>
  <c r="R30" i="2"/>
  <c r="N31" i="2"/>
  <c r="P32" i="2"/>
  <c r="O31" i="2"/>
  <c r="N32" i="2"/>
  <c r="P33" i="2"/>
  <c r="O32" i="2"/>
  <c r="P34" i="2"/>
  <c r="N33" i="2"/>
  <c r="O33" i="2"/>
  <c r="N34" i="2"/>
  <c r="P35" i="2"/>
  <c r="O34" i="2"/>
  <c r="N35" i="2"/>
  <c r="P36" i="2"/>
  <c r="O35" i="2"/>
  <c r="P37" i="2"/>
  <c r="N36" i="2"/>
  <c r="O36" i="2"/>
  <c r="N37" i="2"/>
  <c r="P38" i="2"/>
  <c r="O37" i="2"/>
  <c r="P39" i="2"/>
  <c r="N38" i="2"/>
  <c r="O38" i="2"/>
  <c r="P40" i="2"/>
  <c r="N39" i="2"/>
  <c r="O39" i="2"/>
  <c r="N40" i="2"/>
  <c r="P41" i="2"/>
  <c r="O40" i="2"/>
  <c r="N41" i="2"/>
  <c r="P42" i="2"/>
  <c r="O41" i="2"/>
  <c r="P43" i="2"/>
  <c r="N42" i="2"/>
  <c r="O42" i="2"/>
  <c r="O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N43" i="2"/>
  <c r="P60" i="2"/>
  <c r="N59" i="2"/>
  <c r="O59" i="2"/>
  <c r="O60" i="2"/>
  <c r="N60" i="2"/>
</calcChain>
</file>

<file path=xl/sharedStrings.xml><?xml version="1.0" encoding="utf-8"?>
<sst xmlns="http://schemas.openxmlformats.org/spreadsheetml/2006/main" count="240" uniqueCount="74">
  <si>
    <t>MARISOL</t>
  </si>
  <si>
    <t>AHORRO ANUAL</t>
  </si>
  <si>
    <t>UDI</t>
  </si>
  <si>
    <t>udi</t>
  </si>
  <si>
    <t>pesos</t>
  </si>
  <si>
    <t>ADICIONAL</t>
  </si>
  <si>
    <t>PROTECCION</t>
  </si>
  <si>
    <t>%</t>
  </si>
  <si>
    <t>ADELANTOS</t>
  </si>
  <si>
    <t>DISPONIBLE</t>
  </si>
  <si>
    <t>GANANCIA</t>
  </si>
  <si>
    <t xml:space="preserve">FONDO </t>
  </si>
  <si>
    <t>AHORRO</t>
  </si>
  <si>
    <t>-</t>
  </si>
  <si>
    <t>FONDO S/ADIC</t>
  </si>
  <si>
    <t>FONDO C/ADIC</t>
  </si>
  <si>
    <t xml:space="preserve"> 10 AÑOS</t>
  </si>
  <si>
    <t xml:space="preserve"> 15 AÑOS</t>
  </si>
  <si>
    <t xml:space="preserve"> 20 AÑOS</t>
  </si>
  <si>
    <t>TIEMPO</t>
  </si>
  <si>
    <t>PP</t>
  </si>
  <si>
    <t>CU</t>
  </si>
  <si>
    <t>BU</t>
  </si>
  <si>
    <t>% de la SA</t>
  </si>
  <si>
    <t>JORGE</t>
  </si>
  <si>
    <t>SUMA ASEGURADA POR FALLECIMIENTO</t>
  </si>
  <si>
    <t>SUMA ASEGURADA POR INVALIDEZ</t>
  </si>
  <si>
    <t>EXENCION DE PAGO DE PRIMAS</t>
  </si>
  <si>
    <t>ANTONIO</t>
  </si>
  <si>
    <t>15 AÑOS</t>
  </si>
  <si>
    <t>20 AÑOS</t>
  </si>
  <si>
    <t>25 AÑOS</t>
  </si>
  <si>
    <t xml:space="preserve">ANUALIDAD </t>
  </si>
  <si>
    <t xml:space="preserve">DISPONIBLE  </t>
  </si>
  <si>
    <t>UDIS</t>
  </si>
  <si>
    <t>udis</t>
  </si>
  <si>
    <t>Pesos</t>
  </si>
  <si>
    <t>Entrega Mensual</t>
  </si>
  <si>
    <t>Entrega Anual</t>
  </si>
  <si>
    <t>EXENCIÓN DE PAGOS DE PRIMAS POR INVALIDEZ</t>
  </si>
  <si>
    <t>Mensual</t>
  </si>
  <si>
    <t>anual</t>
  </si>
  <si>
    <t>Brian</t>
  </si>
  <si>
    <t xml:space="preserve">Pago Unico </t>
  </si>
  <si>
    <t>PESOS</t>
  </si>
  <si>
    <t xml:space="preserve">TABLA DE ENFERMEDADES CUBIERTAS </t>
  </si>
  <si>
    <t xml:space="preserve">TUMOR MALIGNO DE LA MAMA </t>
  </si>
  <si>
    <t xml:space="preserve">TUMOR MALIGNO DE LA MAMA LOCALIZADO </t>
  </si>
  <si>
    <t xml:space="preserve">TUMOR MALIGNO DEL OVARIO </t>
  </si>
  <si>
    <t xml:space="preserve">TUMOR MALIGNO DEL UTERO </t>
  </si>
  <si>
    <t xml:space="preserve">TUMOR MALIGNO DEL UTERO LOCALIZADO </t>
  </si>
  <si>
    <t xml:space="preserve">TUMOR MALIGNO DE LAS TROMPAS DE FALOPIO </t>
  </si>
  <si>
    <t xml:space="preserve">TUMOR BENIGNO DE VAGINA O VULVA </t>
  </si>
  <si>
    <t xml:space="preserve">Te presento la estrategia de ahorro y beneficios especiales </t>
  </si>
  <si>
    <t>$</t>
  </si>
  <si>
    <t>DIARIO</t>
  </si>
  <si>
    <t>AVE</t>
  </si>
  <si>
    <t>Invalidez</t>
  </si>
  <si>
    <t xml:space="preserve">Fallecimiento </t>
  </si>
  <si>
    <t>edu</t>
  </si>
  <si>
    <t>amin</t>
  </si>
  <si>
    <t>pau</t>
  </si>
  <si>
    <t>carlos</t>
  </si>
  <si>
    <t>moni</t>
  </si>
  <si>
    <t xml:space="preserve">rafa </t>
  </si>
  <si>
    <t>vi</t>
  </si>
  <si>
    <t>gmm</t>
  </si>
  <si>
    <t>x</t>
  </si>
  <si>
    <t>Cristobal</t>
  </si>
  <si>
    <t xml:space="preserve">Leo </t>
  </si>
  <si>
    <t xml:space="preserve">Martha </t>
  </si>
  <si>
    <t>Ahorro</t>
  </si>
  <si>
    <t xml:space="preserve">Recuperación </t>
  </si>
  <si>
    <t xml:space="preserve">Lariza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</si>
</sst>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0.000"/>
    <numFmt numFmtId="169" formatCode="&quot;$&quot;#,##0.00"/>
    <numFmt numFmtId="170" formatCode="_-[$$-80A]* #,##0.00_-;\-[$$-80A]* #,##0.00_-;_-[$$-80A]* &quot;-&quot;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1"/>
      <color rgb="FF9C0006"/>
      <name val="Century Gothic"/>
      <family val="2"/>
    </font>
    <font>
      <b/>
      <sz val="14"/>
      <color theme="1"/>
      <name val="Century Gothic"/>
      <family val="2"/>
    </font>
    <font>
      <b/>
      <sz val="20"/>
      <color rgb="FF9C0006"/>
      <name val="Century Gothic"/>
      <family val="2"/>
    </font>
    <font>
      <b/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b/>
      <sz val="14"/>
      <color rgb="FF9C0006"/>
      <name val="Century Gothic"/>
      <family val="2"/>
    </font>
    <font>
      <b/>
      <sz val="12"/>
      <color theme="1"/>
      <name val="Century Gothic"/>
      <family val="2"/>
    </font>
    <font>
      <b/>
      <sz val="16"/>
      <color theme="1"/>
      <name val="Century Gothic"/>
      <family val="2"/>
    </font>
    <font>
      <sz val="11"/>
      <name val="Century Gothic"/>
      <family val="2"/>
    </font>
    <font>
      <b/>
      <sz val="11"/>
      <color rgb="FFFF7C80"/>
      <name val="Century Gothic"/>
      <family val="2"/>
    </font>
    <font>
      <b/>
      <sz val="12"/>
      <color rgb="FFFF7C80"/>
      <name val="Century Gothic"/>
      <family val="2"/>
    </font>
    <font>
      <sz val="11"/>
      <color rgb="FF006100"/>
      <name val="Century Gothic"/>
      <family val="2"/>
    </font>
    <font>
      <b/>
      <sz val="11"/>
      <color rgb="FF006100"/>
      <name val="Century Gothic"/>
      <family val="2"/>
    </font>
    <font>
      <b/>
      <sz val="12"/>
      <color theme="0"/>
      <name val="Century Gothic"/>
      <family val="2"/>
    </font>
    <font>
      <sz val="12"/>
      <color theme="1"/>
      <name val="Century Gothic"/>
      <family val="2"/>
    </font>
    <font>
      <b/>
      <sz val="14"/>
      <color theme="0"/>
      <name val="Century Gothic"/>
      <family val="2"/>
    </font>
    <font>
      <b/>
      <sz val="16"/>
      <color theme="0"/>
      <name val="Century Gothic"/>
      <family val="2"/>
    </font>
    <font>
      <b/>
      <sz val="20"/>
      <color theme="0"/>
      <name val="Century Gothic"/>
      <family val="2"/>
    </font>
    <font>
      <sz val="11"/>
      <color rgb="FF9C6500"/>
      <name val="Calibri"/>
      <family val="2"/>
      <scheme val="minor"/>
    </font>
    <font>
      <b/>
      <sz val="12"/>
      <color rgb="FF9C6500"/>
      <name val="Century Gothic"/>
      <family val="2"/>
    </font>
    <font>
      <sz val="14"/>
      <color theme="1"/>
      <name val="Century Gothic"/>
      <family val="2"/>
    </font>
    <font>
      <b/>
      <sz val="12"/>
      <color theme="0"/>
      <name val="Century Gothic"/>
      <family val="1"/>
    </font>
    <font>
      <sz val="6"/>
      <color theme="1"/>
      <name val="Arial"/>
      <family val="2"/>
    </font>
    <font>
      <sz val="16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Century Gothic"/>
      <family val="1"/>
    </font>
    <font>
      <b/>
      <sz val="11"/>
      <color theme="1"/>
      <name val="Century Gothic"/>
      <family val="1"/>
    </font>
    <font>
      <sz val="6"/>
      <color rgb="FF000000"/>
      <name val="Arial"/>
      <family val="2"/>
    </font>
    <font>
      <sz val="7"/>
      <color theme="1"/>
      <name val="Arial"/>
      <family val="2"/>
    </font>
    <font>
      <b/>
      <sz val="24"/>
      <color theme="1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24" fillId="6" borderId="0" applyNumberFormat="0" applyBorder="0" applyAlignment="0" applyProtection="0"/>
  </cellStyleXfs>
  <cellXfs count="221">
    <xf numFmtId="0" fontId="0" fillId="0" borderId="0" xfId="0"/>
    <xf numFmtId="3" fontId="0" fillId="0" borderId="0" xfId="0" applyNumberFormat="1"/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5" fillId="0" borderId="6" xfId="0" applyNumberFormat="1" applyFont="1" applyBorder="1" applyAlignment="1">
      <alignment horizontal="center"/>
    </xf>
    <xf numFmtId="166" fontId="5" fillId="0" borderId="6" xfId="1" applyNumberFormat="1" applyFont="1" applyBorder="1"/>
    <xf numFmtId="166" fontId="5" fillId="0" borderId="6" xfId="1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/>
    </xf>
    <xf numFmtId="166" fontId="5" fillId="0" borderId="3" xfId="1" applyNumberFormat="1" applyFont="1" applyBorder="1"/>
    <xf numFmtId="0" fontId="5" fillId="0" borderId="3" xfId="0" applyFont="1" applyBorder="1"/>
    <xf numFmtId="166" fontId="5" fillId="0" borderId="3" xfId="1" applyNumberFormat="1" applyFont="1" applyBorder="1" applyAlignment="1">
      <alignment horizontal="center" vertical="center"/>
    </xf>
    <xf numFmtId="167" fontId="5" fillId="0" borderId="1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5" fillId="0" borderId="0" xfId="0" applyNumberFormat="1" applyFont="1"/>
    <xf numFmtId="3" fontId="5" fillId="0" borderId="3" xfId="0" applyNumberFormat="1" applyFont="1" applyBorder="1" applyAlignment="1">
      <alignment horizontal="center" vertical="center"/>
    </xf>
    <xf numFmtId="166" fontId="5" fillId="0" borderId="9" xfId="1" applyNumberFormat="1" applyFont="1" applyBorder="1" applyAlignment="1">
      <alignment horizontal="center" vertical="center"/>
    </xf>
    <xf numFmtId="166" fontId="5" fillId="0" borderId="0" xfId="1" applyNumberFormat="1" applyFont="1"/>
    <xf numFmtId="167" fontId="5" fillId="0" borderId="0" xfId="0" applyNumberFormat="1" applyFont="1"/>
    <xf numFmtId="3" fontId="9" fillId="3" borderId="3" xfId="3" applyNumberFormat="1" applyFont="1" applyBorder="1" applyAlignment="1">
      <alignment horizontal="center" vertical="center"/>
    </xf>
    <xf numFmtId="166" fontId="9" fillId="3" borderId="3" xfId="3" applyNumberFormat="1" applyFont="1" applyBorder="1"/>
    <xf numFmtId="166" fontId="10" fillId="0" borderId="3" xfId="1" applyNumberFormat="1" applyFont="1" applyBorder="1"/>
    <xf numFmtId="3" fontId="10" fillId="0" borderId="3" xfId="0" applyNumberFormat="1" applyFont="1" applyBorder="1" applyAlignment="1">
      <alignment horizontal="center" vertical="center"/>
    </xf>
    <xf numFmtId="0" fontId="17" fillId="2" borderId="9" xfId="2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3" fontId="5" fillId="0" borderId="0" xfId="0" applyNumberFormat="1" applyFont="1"/>
    <xf numFmtId="9" fontId="5" fillId="0" borderId="0" xfId="0" applyNumberFormat="1" applyFont="1" applyAlignment="1">
      <alignment horizontal="center" vertical="center"/>
    </xf>
    <xf numFmtId="9" fontId="5" fillId="0" borderId="12" xfId="0" applyNumberFormat="1" applyFont="1" applyBorder="1" applyAlignment="1">
      <alignment horizontal="center"/>
    </xf>
    <xf numFmtId="9" fontId="5" fillId="0" borderId="10" xfId="0" applyNumberFormat="1" applyFont="1" applyBorder="1" applyAlignment="1">
      <alignment horizontal="center"/>
    </xf>
    <xf numFmtId="0" fontId="20" fillId="0" borderId="0" xfId="0" applyFont="1"/>
    <xf numFmtId="0" fontId="20" fillId="0" borderId="16" xfId="0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/>
    </xf>
    <xf numFmtId="167" fontId="5" fillId="0" borderId="12" xfId="0" applyNumberFormat="1" applyFont="1" applyBorder="1" applyAlignment="1">
      <alignment horizontal="center"/>
    </xf>
    <xf numFmtId="0" fontId="21" fillId="5" borderId="16" xfId="5" applyFont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/>
    </xf>
    <xf numFmtId="166" fontId="5" fillId="0" borderId="7" xfId="1" applyNumberFormat="1" applyFont="1" applyBorder="1"/>
    <xf numFmtId="3" fontId="5" fillId="0" borderId="11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0" fillId="0" borderId="3" xfId="0" applyNumberFormat="1" applyBorder="1"/>
    <xf numFmtId="0" fontId="5" fillId="0" borderId="3" xfId="0" applyFont="1" applyBorder="1" applyAlignment="1">
      <alignment horizontal="center"/>
    </xf>
    <xf numFmtId="167" fontId="5" fillId="0" borderId="3" xfId="0" applyNumberFormat="1" applyFont="1" applyBorder="1" applyAlignment="1">
      <alignment horizontal="center" vertical="center"/>
    </xf>
    <xf numFmtId="0" fontId="19" fillId="4" borderId="3" xfId="4" applyFont="1" applyBorder="1" applyAlignment="1">
      <alignment horizontal="center" vertical="center" wrapText="1"/>
    </xf>
    <xf numFmtId="3" fontId="20" fillId="8" borderId="3" xfId="0" applyNumberFormat="1" applyFont="1" applyFill="1" applyBorder="1" applyAlignment="1">
      <alignment horizontal="center" vertical="center"/>
    </xf>
    <xf numFmtId="166" fontId="20" fillId="9" borderId="0" xfId="0" applyNumberFormat="1" applyFont="1" applyFill="1"/>
    <xf numFmtId="167" fontId="20" fillId="0" borderId="0" xfId="0" applyNumberFormat="1" applyFont="1"/>
    <xf numFmtId="3" fontId="20" fillId="0" borderId="0" xfId="0" applyNumberFormat="1" applyFont="1"/>
    <xf numFmtId="0" fontId="27" fillId="10" borderId="3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3" fontId="20" fillId="11" borderId="3" xfId="0" applyNumberFormat="1" applyFont="1" applyFill="1" applyBorder="1" applyAlignment="1">
      <alignment horizontal="center" vertical="center"/>
    </xf>
    <xf numFmtId="166" fontId="20" fillId="11" borderId="3" xfId="1" applyNumberFormat="1" applyFont="1" applyFill="1" applyBorder="1"/>
    <xf numFmtId="0" fontId="5" fillId="0" borderId="0" xfId="0" applyFont="1" applyAlignment="1">
      <alignment horizontal="center"/>
    </xf>
    <xf numFmtId="167" fontId="5" fillId="8" borderId="12" xfId="0" applyNumberFormat="1" applyFont="1" applyFill="1" applyBorder="1" applyAlignment="1">
      <alignment horizontal="center"/>
    </xf>
    <xf numFmtId="165" fontId="5" fillId="0" borderId="0" xfId="1" applyFont="1"/>
    <xf numFmtId="3" fontId="28" fillId="0" borderId="0" xfId="0" applyNumberFormat="1" applyFont="1"/>
    <xf numFmtId="0" fontId="26" fillId="0" borderId="0" xfId="0" applyFont="1"/>
    <xf numFmtId="0" fontId="29" fillId="0" borderId="0" xfId="0" applyFont="1"/>
    <xf numFmtId="0" fontId="28" fillId="0" borderId="0" xfId="0" applyFont="1"/>
    <xf numFmtId="166" fontId="20" fillId="0" borderId="0" xfId="0" applyNumberFormat="1" applyFont="1"/>
    <xf numFmtId="0" fontId="30" fillId="0" borderId="26" xfId="0" applyFont="1" applyBorder="1"/>
    <xf numFmtId="0" fontId="6" fillId="0" borderId="0" xfId="3" applyFont="1" applyFill="1"/>
    <xf numFmtId="0" fontId="12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166" fontId="5" fillId="0" borderId="0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6" fillId="3" borderId="3" xfId="3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5" fontId="5" fillId="0" borderId="0" xfId="1" applyFont="1" applyAlignment="1"/>
    <xf numFmtId="3" fontId="31" fillId="0" borderId="0" xfId="0" applyNumberFormat="1" applyFont="1"/>
    <xf numFmtId="169" fontId="5" fillId="0" borderId="0" xfId="0" applyNumberFormat="1" applyFont="1"/>
    <xf numFmtId="165" fontId="20" fillId="0" borderId="0" xfId="1" applyFont="1"/>
    <xf numFmtId="166" fontId="5" fillId="0" borderId="12" xfId="1" applyNumberFormat="1" applyFont="1" applyBorder="1" applyAlignment="1">
      <alignment horizontal="center"/>
    </xf>
    <xf numFmtId="0" fontId="32" fillId="0" borderId="0" xfId="0" applyFont="1"/>
    <xf numFmtId="0" fontId="5" fillId="0" borderId="29" xfId="0" applyFont="1" applyBorder="1"/>
    <xf numFmtId="165" fontId="33" fillId="0" borderId="25" xfId="0" applyNumberFormat="1" applyFont="1" applyBorder="1"/>
    <xf numFmtId="3" fontId="34" fillId="0" borderId="0" xfId="0" applyNumberFormat="1" applyFont="1"/>
    <xf numFmtId="166" fontId="7" fillId="0" borderId="0" xfId="0" applyNumberFormat="1" applyFont="1" applyAlignment="1">
      <alignment horizontal="center"/>
    </xf>
    <xf numFmtId="0" fontId="5" fillId="0" borderId="30" xfId="0" applyFont="1" applyBorder="1" applyAlignment="1">
      <alignment horizontal="center" vertical="center" wrapText="1"/>
    </xf>
    <xf numFmtId="3" fontId="35" fillId="0" borderId="0" xfId="0" applyNumberFormat="1" applyFont="1"/>
    <xf numFmtId="0" fontId="5" fillId="0" borderId="23" xfId="0" applyFont="1" applyBorder="1" applyAlignment="1">
      <alignment horizontal="center" vertical="center"/>
    </xf>
    <xf numFmtId="164" fontId="0" fillId="0" borderId="0" xfId="0" applyNumberFormat="1"/>
    <xf numFmtId="0" fontId="10" fillId="0" borderId="0" xfId="0" applyFont="1"/>
    <xf numFmtId="3" fontId="34" fillId="12" borderId="0" xfId="0" applyNumberFormat="1" applyFont="1" applyFill="1"/>
    <xf numFmtId="165" fontId="5" fillId="12" borderId="0" xfId="1" applyFont="1" applyFill="1"/>
    <xf numFmtId="0" fontId="5" fillId="12" borderId="0" xfId="0" applyFont="1" applyFill="1"/>
    <xf numFmtId="3" fontId="30" fillId="12" borderId="25" xfId="0" applyNumberFormat="1" applyFont="1" applyFill="1" applyBorder="1"/>
    <xf numFmtId="0" fontId="19" fillId="4" borderId="3" xfId="4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3" fillId="4" borderId="0" xfId="4" applyFont="1" applyAlignment="1">
      <alignment horizontal="center" vertical="center" wrapText="1"/>
    </xf>
    <xf numFmtId="0" fontId="21" fillId="4" borderId="0" xfId="4" applyFont="1" applyAlignment="1">
      <alignment horizontal="center" vertical="center" wrapText="1"/>
    </xf>
    <xf numFmtId="166" fontId="22" fillId="4" borderId="0" xfId="4" applyNumberFormat="1" applyFont="1" applyAlignment="1">
      <alignment horizontal="center" vertical="center" wrapText="1"/>
    </xf>
    <xf numFmtId="0" fontId="22" fillId="4" borderId="0" xfId="4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25" fillId="6" borderId="0" xfId="6" applyFont="1" applyAlignment="1">
      <alignment horizontal="center" vertical="center" wrapText="1"/>
    </xf>
    <xf numFmtId="166" fontId="25" fillId="6" borderId="0" xfId="6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166" fontId="10" fillId="0" borderId="0" xfId="1" applyNumberFormat="1" applyFont="1" applyBorder="1" applyAlignment="1">
      <alignment horizontal="center" vertical="center"/>
    </xf>
    <xf numFmtId="166" fontId="36" fillId="0" borderId="0" xfId="1" applyNumberFormat="1" applyFont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166" fontId="8" fillId="3" borderId="0" xfId="3" applyNumberFormat="1" applyFont="1" applyAlignment="1">
      <alignment horizontal="center" vertical="center"/>
    </xf>
    <xf numFmtId="0" fontId="6" fillId="0" borderId="0" xfId="3" applyFont="1" applyFill="1" applyAlignment="1">
      <alignment horizontal="center" vertical="center" wrapText="1"/>
    </xf>
    <xf numFmtId="166" fontId="6" fillId="0" borderId="0" xfId="3" applyNumberFormat="1" applyFont="1" applyFill="1" applyAlignment="1">
      <alignment horizontal="center" vertical="center" wrapText="1"/>
    </xf>
    <xf numFmtId="0" fontId="11" fillId="0" borderId="0" xfId="3" applyFont="1" applyFill="1" applyAlignment="1">
      <alignment horizontal="center" vertical="center" wrapText="1"/>
    </xf>
    <xf numFmtId="166" fontId="11" fillId="0" borderId="0" xfId="3" applyNumberFormat="1" applyFont="1" applyFill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9" fillId="3" borderId="7" xfId="3" applyFont="1" applyBorder="1" applyAlignment="1">
      <alignment horizontal="center" vertical="center" wrapText="1"/>
    </xf>
    <xf numFmtId="0" fontId="9" fillId="3" borderId="12" xfId="3" applyFont="1" applyBorder="1" applyAlignment="1">
      <alignment horizontal="center" vertical="center" wrapText="1"/>
    </xf>
    <xf numFmtId="0" fontId="6" fillId="3" borderId="16" xfId="3" applyFont="1" applyBorder="1" applyAlignment="1">
      <alignment horizontal="center" vertical="center" wrapText="1"/>
    </xf>
    <xf numFmtId="0" fontId="6" fillId="3" borderId="4" xfId="3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3" borderId="5" xfId="3" applyFont="1" applyBorder="1" applyAlignment="1">
      <alignment horizontal="center" vertical="center" wrapText="1"/>
    </xf>
    <xf numFmtId="0" fontId="9" fillId="3" borderId="6" xfId="3" applyFont="1" applyBorder="1" applyAlignment="1">
      <alignment horizontal="center" vertical="center" wrapText="1"/>
    </xf>
    <xf numFmtId="0" fontId="9" fillId="3" borderId="11" xfId="3" applyFont="1" applyBorder="1" applyAlignment="1">
      <alignment horizontal="center" vertical="center" wrapText="1"/>
    </xf>
    <xf numFmtId="0" fontId="9" fillId="3" borderId="3" xfId="3" applyFont="1" applyBorder="1" applyAlignment="1">
      <alignment horizontal="center" vertical="center" wrapText="1"/>
    </xf>
    <xf numFmtId="0" fontId="6" fillId="3" borderId="27" xfId="3" applyFont="1" applyBorder="1" applyAlignment="1">
      <alignment horizontal="center" vertical="center" wrapText="1"/>
    </xf>
    <xf numFmtId="0" fontId="6" fillId="3" borderId="28" xfId="3" applyFont="1" applyBorder="1" applyAlignment="1">
      <alignment horizontal="center" vertical="center" wrapText="1"/>
    </xf>
    <xf numFmtId="166" fontId="7" fillId="0" borderId="4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8" fillId="2" borderId="5" xfId="2" applyFont="1" applyBorder="1" applyAlignment="1">
      <alignment horizontal="center" vertical="center" wrapText="1"/>
    </xf>
    <xf numFmtId="0" fontId="18" fillId="2" borderId="6" xfId="2" applyFont="1" applyBorder="1" applyAlignment="1">
      <alignment horizontal="center" vertical="center" wrapText="1"/>
    </xf>
    <xf numFmtId="0" fontId="18" fillId="2" borderId="8" xfId="2" applyFont="1" applyBorder="1" applyAlignment="1">
      <alignment horizontal="center" vertical="center" wrapText="1"/>
    </xf>
    <xf numFmtId="0" fontId="18" fillId="2" borderId="9" xfId="2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6" fontId="10" fillId="0" borderId="3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0" fontId="17" fillId="2" borderId="6" xfId="2" applyFont="1" applyBorder="1" applyAlignment="1">
      <alignment horizontal="center" vertical="center" wrapText="1"/>
    </xf>
    <xf numFmtId="0" fontId="14" fillId="0" borderId="13" xfId="3" applyFont="1" applyFill="1" applyBorder="1" applyAlignment="1">
      <alignment horizontal="center" vertical="center" wrapText="1"/>
    </xf>
    <xf numFmtId="0" fontId="14" fillId="0" borderId="14" xfId="3" applyFont="1" applyFill="1" applyBorder="1" applyAlignment="1">
      <alignment horizontal="center" vertical="center" wrapText="1"/>
    </xf>
    <xf numFmtId="0" fontId="17" fillId="2" borderId="5" xfId="2" applyFont="1" applyBorder="1" applyAlignment="1">
      <alignment horizontal="center" vertical="center" wrapText="1"/>
    </xf>
    <xf numFmtId="0" fontId="17" fillId="2" borderId="8" xfId="2" applyFont="1" applyBorder="1" applyAlignment="1">
      <alignment horizontal="center" vertical="center" wrapText="1"/>
    </xf>
    <xf numFmtId="0" fontId="19" fillId="5" borderId="0" xfId="5" applyFont="1" applyAlignment="1">
      <alignment horizontal="center" vertical="center" wrapText="1"/>
    </xf>
    <xf numFmtId="166" fontId="19" fillId="5" borderId="0" xfId="5" applyNumberFormat="1" applyFont="1" applyAlignment="1">
      <alignment horizontal="center" vertical="center" wrapText="1"/>
    </xf>
    <xf numFmtId="0" fontId="22" fillId="5" borderId="0" xfId="5" applyFont="1" applyAlignment="1">
      <alignment horizontal="center" vertical="center" wrapText="1"/>
    </xf>
    <xf numFmtId="0" fontId="7" fillId="0" borderId="13" xfId="5" applyFont="1" applyFill="1" applyBorder="1" applyAlignment="1">
      <alignment horizontal="center" vertical="center" wrapText="1"/>
    </xf>
    <xf numFmtId="0" fontId="7" fillId="0" borderId="14" xfId="5" applyFont="1" applyFill="1" applyBorder="1" applyAlignment="1">
      <alignment horizontal="center" vertical="center" wrapText="1"/>
    </xf>
    <xf numFmtId="165" fontId="21" fillId="5" borderId="13" xfId="1" applyFont="1" applyFill="1" applyBorder="1" applyAlignment="1">
      <alignment horizontal="center" vertical="center" wrapText="1"/>
    </xf>
    <xf numFmtId="165" fontId="21" fillId="5" borderId="14" xfId="1" applyFont="1" applyFill="1" applyBorder="1" applyAlignment="1">
      <alignment horizontal="center" vertical="center" wrapText="1"/>
    </xf>
    <xf numFmtId="0" fontId="21" fillId="5" borderId="1" xfId="5" applyFont="1" applyBorder="1" applyAlignment="1">
      <alignment horizontal="center" vertical="center" wrapText="1"/>
    </xf>
    <xf numFmtId="0" fontId="21" fillId="5" borderId="20" xfId="5" applyFont="1" applyBorder="1" applyAlignment="1">
      <alignment horizontal="center" vertical="center" wrapText="1"/>
    </xf>
    <xf numFmtId="0" fontId="21" fillId="5" borderId="2" xfId="5" applyFont="1" applyBorder="1" applyAlignment="1">
      <alignment horizontal="center" vertical="center" wrapText="1"/>
    </xf>
    <xf numFmtId="0" fontId="21" fillId="5" borderId="21" xfId="5" applyFont="1" applyBorder="1" applyAlignment="1">
      <alignment horizontal="center" vertical="center" wrapText="1"/>
    </xf>
    <xf numFmtId="0" fontId="21" fillId="5" borderId="5" xfId="5" applyFont="1" applyBorder="1" applyAlignment="1">
      <alignment horizontal="center" vertical="center" wrapText="1"/>
    </xf>
    <xf numFmtId="0" fontId="21" fillId="5" borderId="15" xfId="5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5" borderId="6" xfId="5" applyFont="1" applyBorder="1" applyAlignment="1">
      <alignment horizontal="center" vertical="center" wrapText="1"/>
    </xf>
    <xf numFmtId="0" fontId="21" fillId="5" borderId="13" xfId="5" applyFont="1" applyBorder="1" applyAlignment="1">
      <alignment horizontal="center" vertical="center" wrapText="1"/>
    </xf>
    <xf numFmtId="0" fontId="21" fillId="5" borderId="19" xfId="5" applyFont="1" applyBorder="1" applyAlignment="1">
      <alignment horizontal="center" vertical="center" wrapText="1"/>
    </xf>
    <xf numFmtId="170" fontId="20" fillId="0" borderId="3" xfId="0" applyNumberFormat="1" applyFont="1" applyBorder="1" applyAlignment="1">
      <alignment horizontal="center" vertical="center"/>
    </xf>
    <xf numFmtId="166" fontId="20" fillId="0" borderId="0" xfId="1" applyNumberFormat="1" applyFont="1"/>
    <xf numFmtId="170" fontId="19" fillId="4" borderId="3" xfId="4" applyNumberFormat="1" applyFont="1" applyBorder="1" applyAlignment="1">
      <alignment horizontal="center" vertical="center" wrapText="1"/>
    </xf>
    <xf numFmtId="170" fontId="20" fillId="0" borderId="0" xfId="0" applyNumberFormat="1" applyFont="1"/>
    <xf numFmtId="170" fontId="20" fillId="0" borderId="3" xfId="0" applyNumberFormat="1" applyFont="1" applyBorder="1" applyAlignment="1">
      <alignment horizontal="center" vertical="center" wrapText="1"/>
    </xf>
    <xf numFmtId="170" fontId="20" fillId="0" borderId="3" xfId="0" applyNumberFormat="1" applyFont="1" applyBorder="1" applyAlignment="1">
      <alignment horizontal="center" vertical="center" wrapText="1"/>
    </xf>
    <xf numFmtId="170" fontId="19" fillId="4" borderId="3" xfId="4" applyNumberFormat="1" applyFont="1" applyBorder="1" applyAlignment="1">
      <alignment horizontal="center" vertical="center" wrapText="1"/>
    </xf>
    <xf numFmtId="170" fontId="20" fillId="0" borderId="3" xfId="1" applyNumberFormat="1" applyFont="1" applyBorder="1"/>
    <xf numFmtId="1" fontId="20" fillId="0" borderId="0" xfId="0" applyNumberFormat="1" applyFont="1"/>
    <xf numFmtId="1" fontId="20" fillId="13" borderId="0" xfId="0" applyNumberFormat="1" applyFont="1" applyFill="1"/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/>
    </xf>
  </cellXfs>
  <cellStyles count="7">
    <cellStyle name="60% - Énfasis1" xfId="4" builtinId="32"/>
    <cellStyle name="60% - Énfasis2" xfId="5" builtinId="36"/>
    <cellStyle name="Bueno" xfId="2" builtinId="26"/>
    <cellStyle name="Incorrecto" xfId="3" builtinId="27"/>
    <cellStyle name="Moneda" xfId="1" builtinId="4"/>
    <cellStyle name="Neutral" xfId="6" builtinId="28"/>
    <cellStyle name="Normal" xfId="0" builtinId="0"/>
  </cellStyles>
  <dxfs count="0"/>
  <tableStyles count="0" defaultTableStyle="TableStyleMedium2" defaultPivotStyle="PivotStyleLight16"/>
  <colors>
    <mruColors>
      <color rgb="FFFF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emf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95250</xdr:rowOff>
    </xdr:from>
    <xdr:to>
      <xdr:col>3</xdr:col>
      <xdr:colOff>740492</xdr:colOff>
      <xdr:row>4</xdr:row>
      <xdr:rowOff>3175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D2B4D485-506D-4EA5-8808-7AB778B11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5250"/>
          <a:ext cx="2788367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28</xdr:row>
      <xdr:rowOff>0</xdr:rowOff>
    </xdr:from>
    <xdr:to>
      <xdr:col>6</xdr:col>
      <xdr:colOff>866774</xdr:colOff>
      <xdr:row>32</xdr:row>
      <xdr:rowOff>171451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6367F3C3-5485-49FF-B23B-8DAADCF29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t="19185" r="3488" b="19187"/>
        <a:stretch/>
      </xdr:blipFill>
      <xdr:spPr>
        <a:xfrm>
          <a:off x="3371850" y="5876925"/>
          <a:ext cx="1581150" cy="1009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825277</xdr:colOff>
      <xdr:row>20</xdr:row>
      <xdr:rowOff>124113</xdr:rowOff>
    </xdr:from>
    <xdr:to>
      <xdr:col>16</xdr:col>
      <xdr:colOff>887834</xdr:colOff>
      <xdr:row>34</xdr:row>
      <xdr:rowOff>167293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938D44-23A3-CEDF-42C9-BF391C1F7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2281" y="4067297"/>
          <a:ext cx="3601433" cy="27020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742951</xdr:colOff>
      <xdr:row>31</xdr:row>
      <xdr:rowOff>28575</xdr:rowOff>
    </xdr:from>
    <xdr:to>
      <xdr:col>8</xdr:col>
      <xdr:colOff>180975</xdr:colOff>
      <xdr:row>32</xdr:row>
      <xdr:rowOff>123824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1" y="6543675"/>
          <a:ext cx="304799" cy="304799"/>
        </a:xfrm>
        <a:prstGeom prst="rect">
          <a:avLst/>
        </a:prstGeom>
      </xdr:spPr>
    </xdr:pic>
    <xdr:clientData/>
  </xdr:twoCellAnchor>
  <xdr:twoCellAnchor editAs="oneCell">
    <xdr:from>
      <xdr:col>7</xdr:col>
      <xdr:colOff>752476</xdr:colOff>
      <xdr:row>33</xdr:row>
      <xdr:rowOff>76200</xdr:rowOff>
    </xdr:from>
    <xdr:to>
      <xdr:col>8</xdr:col>
      <xdr:colOff>190500</xdr:colOff>
      <xdr:row>34</xdr:row>
      <xdr:rowOff>171449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6" y="7029450"/>
          <a:ext cx="304799" cy="304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sheetPr>
    <pageSetUpPr fitToPage="1"/>
  </sheetPr>
  <dimension ref="B5:P34"/>
  <sheetViews>
    <sheetView showGridLines="0" topLeftCell="I1" zoomScale="90" zoomScaleNormal="90" workbookViewId="0">
      <selection activeCell="D32" sqref="D32"/>
    </sheetView>
  </sheetViews>
  <sheetFormatPr defaultColWidth="11.43359375" defaultRowHeight="13.5" ns3:dyDescent="0.15"/>
  <cols>
    <col min="1" max="2" width="11.43359375" style="2"/>
    <col min="3" max="4" width="11.43359375" style="2" customWidth="1"/>
    <col min="5" max="5" width="11.43359375" style="2"/>
    <col min="6" max="6" width="15.46875" style="2" customWidth="1"/>
    <col min="7" max="7" width="16.27734375" style="2" bestFit="1" customWidth="1"/>
    <col min="8" max="8" width="22.05859375" style="2" bestFit="1" customWidth="1"/>
    <col min="9" max="10" width="17.484375" style="2" customWidth="1"/>
    <col min="11" max="12" width="11.43359375" style="2"/>
    <col min="13" max="13" width="13.44921875" style="2" customWidth="1"/>
    <col min="14" max="14" width="14.125" style="2" customWidth="1"/>
    <col min="15" max="15" width="12.5078125" style="2" customWidth="1"/>
    <col min="16" max="16" width="12.10546875" style="2" customWidth="1"/>
    <col min="17" max="16384" width="11.43359375" style="2"/>
  </cols>
  <sheetData>
    <row r="5" spans="2:16" ht="14.25" thickBot="1" ns3:dyDescent="0.2"/>
    <row r="6" spans="2:16" ht="15" customHeight="1" thickBot="1" ns3:dyDescent="0.2">
      <c r="B6" s="111" t="s">
        <v>68</v>
      </c>
      <c r="C6" s="117" t="s">
        <v>70</v>
      </c>
      <c r="D6" s="113" t="s">
        <v>69</v>
      </c>
      <c r="E6" s="115" t="s">
        <v>32</v>
      </c>
      <c r="F6" s="116"/>
      <c r="G6" s="115" t="s">
        <v>33</v>
      </c>
      <c r="H6" s="116"/>
      <c r="I6" s="113" t="s">
        <v>6</v>
      </c>
      <c r="J6" s="113"/>
      <c r="K6" s="109" t="s">
        <v>34</v>
      </c>
      <c r="L6" s="5"/>
    </row>
    <row r="7" spans="2:16" ht="15" thickBot="1" ns3:dyDescent="0.2">
      <c r="B7" s="112"/>
      <c r="C7" s="118"/>
      <c r="D7" s="114"/>
      <c r="E7" s="41" t="s">
        <v>35</v>
      </c>
      <c r="F7" s="41" t="s">
        <v>4</v>
      </c>
      <c r="G7" s="41" t="s">
        <v>35</v>
      </c>
      <c r="H7" s="41" t="s">
        <v>4</v>
      </c>
      <c r="I7" s="41" t="s">
        <v>35</v>
      </c>
      <c r="J7" s="41" t="s">
        <v>36</v>
      </c>
      <c r="K7" s="110"/>
      <c r="L7" s="5"/>
      <c r="M7" s="111" t="s">
        <v>37</v>
      </c>
      <c r="N7" s="119"/>
      <c r="O7" s="111" t="s">
        <v>38</v>
      </c>
      <c r="P7" s="119"/>
    </row>
    <row r="8" spans="2:16" ht="15" thickBot="1" ns3:dyDescent="0.2">
      <c r="B8" s="26">
        <v>41</v>
      </c>
      <c r="C8" s="93">
        <v>51</v>
      </c>
      <c r="D8" s="37">
        <v>10</v>
      </c>
      <c r="E8" s="27">
        <v>4707</v>
      </c>
      <c r="F8" s="8">
        <f>E8*K8</f>
        <v>38832.75</v>
      </c>
      <c r="G8" s="37">
        <v>0</v>
      </c>
      <c r="H8" s="37"/>
      <c r="I8" s="27">
        <v>30000</v>
      </c>
      <c r="J8" s="8">
        <f>I8*K8</f>
        <v>247500</v>
      </c>
      <c r="K8" s="9">
        <v>8.25</v>
      </c>
      <c r="L8" s="5"/>
      <c r="M8" s="42" t="s">
        <v>35</v>
      </c>
      <c r="N8" s="43" t="s">
        <v>4</v>
      </c>
      <c r="O8" s="42" t="s">
        <v>35</v>
      </c>
      <c r="P8" s="43" t="s">
        <v>4</v>
      </c>
    </row>
    <row r="9" spans="2:16" ht="14.25" thickBot="1" ns3:dyDescent="0.2">
      <c r="B9" s="28">
        <f>B8+1</f>
        <v>42</v>
      </c>
      <c r="C9" s="93">
        <f>C8+1</f>
        <v>52</v>
      </c>
      <c r="D9" s="28">
        <f>D8+1</f>
        <v>11</v>
      </c>
      <c r="E9" s="17">
        <f>E8</f>
        <v>4707</v>
      </c>
      <c r="F9" s="13">
        <f>E9*K9</f>
        <v>40580.223749999997</v>
      </c>
      <c r="G9" s="15">
        <v>0</v>
      </c>
      <c r="H9" s="15"/>
      <c r="I9" s="17">
        <f>I8</f>
        <v>30000</v>
      </c>
      <c r="J9" s="13">
        <f>I9*K9</f>
        <v>258637.5</v>
      </c>
      <c r="K9" s="14">
        <f>K8*1.045</f>
        <v>8.6212499999999999</v>
      </c>
      <c r="L9" s="5"/>
      <c r="M9" s="44">
        <v>637</v>
      </c>
      <c r="N9" s="7">
        <f>(K14*1.045)*M9</f>
        <v>7151.6691345546251</v>
      </c>
      <c r="O9" s="27">
        <f>M9*12</f>
        <v>7644</v>
      </c>
      <c r="P9" s="45">
        <f>N9*12</f>
        <v>85820.029614655505</v>
      </c>
    </row>
    <row r="10" spans="2:16" ht="14.25" thickBot="1" ns3:dyDescent="0.2">
      <c r="B10" s="28">
        <f t="shared" ref="B10:C15" si="0">B9+1</f>
        <v>43</v>
      </c>
      <c r="C10" s="93">
        <f t="shared" si="0"/>
        <v>53</v>
      </c>
      <c r="D10" s="28">
        <f t="shared" ref="D10:D15" si="1">D9+1</f>
        <v>12</v>
      </c>
      <c r="E10" s="17">
        <f t="shared" ref="E10:E15" si="2">E9</f>
        <v>4707</v>
      </c>
      <c r="F10" s="13">
        <f t="shared" ref="F10:F15" si="3">E10*K10</f>
        <v>42406.333818749998</v>
      </c>
      <c r="G10" s="17">
        <v>3879</v>
      </c>
      <c r="H10" s="13">
        <f>G10*K10</f>
        <v>34946.711043750001</v>
      </c>
      <c r="I10" s="17">
        <f t="shared" ref="I10:I15" si="4">I9</f>
        <v>30000</v>
      </c>
      <c r="J10" s="13">
        <f t="shared" ref="J10:J15" si="5">I10*K10</f>
        <v>270276.1875</v>
      </c>
      <c r="K10" s="14">
        <f t="shared" ref="K10:K25" si="6">K9*1.045</f>
        <v>9.0092062500000001</v>
      </c>
      <c r="L10" s="5"/>
      <c r="M10" s="46">
        <f>M9</f>
        <v>637</v>
      </c>
      <c r="N10" s="7">
        <f t="shared" ref="N10:N12" si="7">(K15*1.045)*M10</f>
        <v>7473.4942456095823</v>
      </c>
      <c r="O10" s="27">
        <f t="shared" ref="O10:O11" si="8">M10*12</f>
        <v>7644</v>
      </c>
      <c r="P10" s="45">
        <f t="shared" ref="P10:P12" si="9">N10*12</f>
        <v>89681.930947314991</v>
      </c>
    </row>
    <row r="11" spans="2:16" ht="14.25" thickBot="1" ns3:dyDescent="0.2">
      <c r="B11" s="28">
        <f t="shared" si="0"/>
        <v>44</v>
      </c>
      <c r="C11" s="93">
        <f t="shared" si="0"/>
        <v>54</v>
      </c>
      <c r="D11" s="28">
        <f t="shared" si="1"/>
        <v>13</v>
      </c>
      <c r="E11" s="17">
        <f t="shared" si="2"/>
        <v>4707</v>
      </c>
      <c r="F11" s="13">
        <f t="shared" si="3"/>
        <v>44314.61884059375</v>
      </c>
      <c r="G11" s="17">
        <v>6111</v>
      </c>
      <c r="H11" s="13">
        <f t="shared" ref="H11:H15" si="10">G11*K11</f>
        <v>57532.746066468746</v>
      </c>
      <c r="I11" s="17">
        <f t="shared" si="4"/>
        <v>30000</v>
      </c>
      <c r="J11" s="13">
        <f t="shared" si="5"/>
        <v>282438.61593749997</v>
      </c>
      <c r="K11" s="14">
        <f t="shared" si="6"/>
        <v>9.4146205312499998</v>
      </c>
      <c r="L11" s="5"/>
      <c r="M11" s="46">
        <f t="shared" ref="M11:M12" si="11">M10</f>
        <v>637</v>
      </c>
      <c r="N11" s="7">
        <f t="shared" si="7"/>
        <v>7809.8014866620133</v>
      </c>
      <c r="O11" s="27">
        <f t="shared" si="8"/>
        <v>7644</v>
      </c>
      <c r="P11" s="45">
        <f t="shared" si="9"/>
        <v>93717.617839944156</v>
      </c>
    </row>
    <row r="12" spans="2:16" ht="14.25" thickBot="1" ns3:dyDescent="0.2">
      <c r="B12" s="28">
        <f t="shared" si="0"/>
        <v>45</v>
      </c>
      <c r="C12" s="93">
        <f t="shared" si="0"/>
        <v>55</v>
      </c>
      <c r="D12" s="28">
        <f t="shared" si="1"/>
        <v>14</v>
      </c>
      <c r="E12" s="17">
        <f t="shared" si="2"/>
        <v>4707</v>
      </c>
      <c r="F12" s="13">
        <f t="shared" si="3"/>
        <v>46308.776688420468</v>
      </c>
      <c r="G12" s="17">
        <v>9057</v>
      </c>
      <c r="H12" s="13">
        <f t="shared" si="10"/>
        <v>89105.287968350152</v>
      </c>
      <c r="I12" s="17">
        <f t="shared" si="4"/>
        <v>30000</v>
      </c>
      <c r="J12" s="13">
        <f t="shared" si="5"/>
        <v>295148.35365468747</v>
      </c>
      <c r="K12" s="14">
        <f t="shared" si="6"/>
        <v>9.8382784551562494</v>
      </c>
      <c r="L12" s="5"/>
      <c r="M12" s="46">
        <f t="shared" si="11"/>
        <v>637</v>
      </c>
      <c r="N12" s="7">
        <f t="shared" si="7"/>
        <v>8161.2425535618031</v>
      </c>
      <c r="O12" s="27">
        <f>M12*12</f>
        <v>7644</v>
      </c>
      <c r="P12" s="45">
        <f t="shared" si="9"/>
        <v>97934.910642741641</v>
      </c>
    </row>
    <row r="13" spans="2:16" ht="14.25" thickBot="1" ns3:dyDescent="0.2">
      <c r="B13" s="28">
        <f t="shared" si="0"/>
        <v>46</v>
      </c>
      <c r="C13" s="93">
        <f t="shared" si="0"/>
        <v>56</v>
      </c>
      <c r="D13" s="28">
        <f t="shared" si="1"/>
        <v>15</v>
      </c>
      <c r="E13" s="17">
        <f t="shared" si="2"/>
        <v>4707</v>
      </c>
      <c r="F13" s="13">
        <f t="shared" si="3"/>
        <v>48392.671639399377</v>
      </c>
      <c r="G13" s="17">
        <v>12642</v>
      </c>
      <c r="H13" s="13">
        <f t="shared" si="10"/>
        <v>129972.41446043912</v>
      </c>
      <c r="I13" s="17">
        <f t="shared" si="4"/>
        <v>30000</v>
      </c>
      <c r="J13" s="13">
        <f t="shared" si="5"/>
        <v>308430.02956914838</v>
      </c>
      <c r="K13" s="14">
        <f t="shared" si="6"/>
        <v>10.281000985638279</v>
      </c>
      <c r="L13" s="5"/>
      <c r="P13" s="16">
        <f>SUM(P9:P12)</f>
        <v>367154.48904465628</v>
      </c>
    </row>
    <row r="14" spans="2:16" ht="14.25" thickBot="1" ns3:dyDescent="0.2">
      <c r="B14" s="28">
        <f t="shared" si="0"/>
        <v>47</v>
      </c>
      <c r="C14" s="93">
        <f t="shared" si="0"/>
        <v>57</v>
      </c>
      <c r="D14" s="28">
        <f t="shared" si="1"/>
        <v>16</v>
      </c>
      <c r="E14" s="17">
        <f t="shared" si="2"/>
        <v>4707</v>
      </c>
      <c r="F14" s="13">
        <f t="shared" si="3"/>
        <v>50570.341863172354</v>
      </c>
      <c r="G14" s="17">
        <v>16848</v>
      </c>
      <c r="H14" s="13">
        <f t="shared" si="10"/>
        <v>181008.94831330524</v>
      </c>
      <c r="I14" s="17">
        <f t="shared" si="4"/>
        <v>30000</v>
      </c>
      <c r="J14" s="13">
        <f t="shared" si="5"/>
        <v>322309.38089976006</v>
      </c>
      <c r="K14" s="14">
        <f t="shared" si="6"/>
        <v>10.743646029992002</v>
      </c>
      <c r="L14" s="5"/>
      <c r="M14" s="120"/>
      <c r="N14" s="120"/>
      <c r="O14" s="121"/>
      <c r="P14" s="120"/>
    </row>
    <row r="15" spans="2:16" ht="14.25" thickBot="1" ns3:dyDescent="0.2">
      <c r="B15" s="28">
        <f t="shared" si="0"/>
        <v>48</v>
      </c>
      <c r="C15" s="93">
        <f t="shared" si="0"/>
        <v>58</v>
      </c>
      <c r="D15" s="28">
        <f t="shared" si="1"/>
        <v>17</v>
      </c>
      <c r="E15" s="17">
        <f t="shared" si="2"/>
        <v>4707</v>
      </c>
      <c r="F15" s="13">
        <f t="shared" si="3"/>
        <v>52846.007247015099</v>
      </c>
      <c r="G15" s="17">
        <v>30000</v>
      </c>
      <c r="H15" s="13">
        <f t="shared" si="10"/>
        <v>336813.30304024921</v>
      </c>
      <c r="I15" s="17">
        <f t="shared" si="4"/>
        <v>30000</v>
      </c>
      <c r="J15" s="13">
        <f t="shared" si="5"/>
        <v>336813.30304024921</v>
      </c>
      <c r="K15" s="14">
        <f t="shared" si="6"/>
        <v>11.227110101341641</v>
      </c>
      <c r="L15" s="5"/>
      <c r="M15" s="120"/>
      <c r="N15" s="120"/>
      <c r="O15" s="120"/>
      <c r="P15" s="120"/>
    </row>
    <row r="16" spans="2:16" ht="14.25" thickBot="1" ns3:dyDescent="0.2">
      <c r="B16" s="28"/>
      <c r="C16" s="93"/>
      <c r="D16" s="28"/>
      <c r="E16" s="17"/>
      <c r="F16" s="13"/>
      <c r="G16" s="17"/>
      <c r="H16" s="13"/>
      <c r="I16" s="17"/>
      <c r="J16" s="13"/>
      <c r="K16" s="14">
        <f t="shared" si="6"/>
        <v>11.732330055902013</v>
      </c>
      <c r="L16" s="5"/>
      <c r="M16" s="122"/>
      <c r="N16" s="122"/>
      <c r="O16" s="123"/>
      <c r="P16" s="122"/>
    </row>
    <row r="17" spans="2:16" ht="14.25" thickBot="1" ns3:dyDescent="0.2">
      <c r="B17" s="28"/>
      <c r="C17" s="93"/>
      <c r="D17" s="28"/>
      <c r="E17" s="17"/>
      <c r="F17" s="13"/>
      <c r="G17" s="17"/>
      <c r="H17" s="13"/>
      <c r="I17" s="17"/>
      <c r="J17" s="13"/>
      <c r="K17" s="14">
        <f t="shared" si="6"/>
        <v>12.260284908417603</v>
      </c>
      <c r="L17" s="5"/>
      <c r="M17" s="122"/>
      <c r="N17" s="122"/>
      <c r="O17" s="122"/>
      <c r="P17" s="122"/>
    </row>
    <row r="18" spans="2:16" ht="16.5" customHeight="1" thickBot="1" ns3:dyDescent="0.2">
      <c r="B18" s="28"/>
      <c r="C18" s="93"/>
      <c r="D18" s="28"/>
      <c r="E18" s="17"/>
      <c r="F18" s="13"/>
      <c r="G18" s="17"/>
      <c r="H18" s="13"/>
      <c r="I18" s="17"/>
      <c r="J18" s="13"/>
      <c r="K18" s="14">
        <f t="shared" si="6"/>
        <v>12.811997729296394</v>
      </c>
      <c r="L18" s="5"/>
      <c r="M18" s="120"/>
      <c r="N18" s="120"/>
      <c r="O18" s="121"/>
      <c r="P18" s="120"/>
    </row>
    <row r="19" spans="2:16" ht="14.25" thickBot="1" ns3:dyDescent="0.2">
      <c r="B19" s="28"/>
      <c r="C19" s="93"/>
      <c r="D19" s="28"/>
      <c r="E19" s="17"/>
      <c r="F19" s="13"/>
      <c r="G19" s="17"/>
      <c r="H19" s="13"/>
      <c r="I19" s="17"/>
      <c r="J19" s="13"/>
      <c r="K19" s="14">
        <f t="shared" si="6"/>
        <v>13.388537627114731</v>
      </c>
      <c r="L19" s="5"/>
      <c r="M19" s="120"/>
      <c r="N19" s="120"/>
      <c r="O19" s="120"/>
      <c r="P19" s="120"/>
    </row>
    <row r="20" spans="2:16" ht="14.25" thickBot="1" ns3:dyDescent="0.2">
      <c r="B20" s="28"/>
      <c r="C20" s="93"/>
      <c r="D20" s="28"/>
      <c r="E20" s="17"/>
      <c r="F20" s="13"/>
      <c r="G20" s="17"/>
      <c r="H20" s="13"/>
      <c r="I20" s="17"/>
      <c r="J20" s="13"/>
      <c r="K20" s="14">
        <f t="shared" si="6"/>
        <v>13.991021820334893</v>
      </c>
      <c r="L20" s="5"/>
      <c r="M20" s="3"/>
      <c r="N20" s="3"/>
      <c r="O20" s="3"/>
      <c r="P20" s="3"/>
    </row>
    <row r="21" spans="2:16" ht="14.25" thickBot="1" ns3:dyDescent="0.2">
      <c r="B21" s="28"/>
      <c r="C21" s="93"/>
      <c r="D21" s="28"/>
      <c r="E21" s="17"/>
      <c r="F21" s="13"/>
      <c r="G21" s="17"/>
      <c r="H21" s="13"/>
      <c r="I21" s="17"/>
      <c r="J21" s="13"/>
      <c r="K21" s="14">
        <f t="shared" si="6"/>
        <v>14.620617802249962</v>
      </c>
      <c r="L21" s="5"/>
      <c r="M21" s="123"/>
      <c r="N21" s="122"/>
      <c r="O21" s="123"/>
      <c r="P21" s="122"/>
    </row>
    <row r="22" spans="2:16" ht="14.25" thickBot="1" ns3:dyDescent="0.2">
      <c r="B22" s="28"/>
      <c r="C22" s="93"/>
      <c r="D22" s="28"/>
      <c r="E22" s="17"/>
      <c r="F22" s="13"/>
      <c r="G22" s="17"/>
      <c r="H22" s="13"/>
      <c r="I22" s="17"/>
      <c r="J22" s="13"/>
      <c r="K22" s="14">
        <f t="shared" si="6"/>
        <v>15.278545603351208</v>
      </c>
      <c r="L22" s="5"/>
      <c r="M22" s="122"/>
      <c r="N22" s="122"/>
      <c r="O22" s="122"/>
      <c r="P22" s="122"/>
    </row>
    <row r="23" spans="2:16" ht="16.5" customHeight="1" thickBot="1" ns3:dyDescent="0.2">
      <c r="B23" s="28"/>
      <c r="C23" s="93"/>
      <c r="D23" s="28"/>
      <c r="E23" s="17"/>
      <c r="F23" s="13"/>
      <c r="G23" s="17"/>
      <c r="H23" s="13"/>
      <c r="I23" s="17"/>
      <c r="J23" s="13"/>
      <c r="K23" s="14">
        <f t="shared" si="6"/>
        <v>15.966080155502011</v>
      </c>
      <c r="M23" s="120"/>
      <c r="N23" s="120"/>
      <c r="O23" s="121"/>
      <c r="P23" s="120"/>
    </row>
    <row r="24" spans="2:16" ns3:dyDescent="0.15">
      <c r="B24" s="28"/>
      <c r="C24" s="93"/>
      <c r="D24" s="28"/>
      <c r="E24" s="17"/>
      <c r="F24" s="13"/>
      <c r="G24" s="17"/>
      <c r="H24" s="13"/>
      <c r="I24" s="17"/>
      <c r="J24" s="13"/>
      <c r="K24" s="14">
        <f t="shared" si="6"/>
        <v>16.684553762499601</v>
      </c>
      <c r="M24" s="120"/>
      <c r="N24" s="120"/>
      <c r="O24" s="120"/>
      <c r="P24" s="120"/>
    </row>
    <row r="25" spans="2:16" ht="14.25" thickBot="1" ns3:dyDescent="0.2">
      <c r="B25" s="28"/>
      <c r="C25" s="28"/>
      <c r="D25" s="28"/>
      <c r="E25" s="48"/>
      <c r="F25" s="18"/>
      <c r="G25" s="47"/>
      <c r="H25" s="18"/>
      <c r="I25" s="47"/>
      <c r="J25" s="18"/>
      <c r="K25" s="14">
        <f t="shared" si="6"/>
        <v>17.435358681812083</v>
      </c>
      <c r="M25" s="3"/>
      <c r="N25" s="3"/>
      <c r="O25" s="3"/>
      <c r="P25" s="3"/>
    </row>
    <row r="26" spans="2:16" ns3:dyDescent="0.15">
      <c r="B26" s="5"/>
      <c r="C26" s="5"/>
      <c r="D26" s="5"/>
      <c r="E26" s="49"/>
      <c r="F26" s="124">
        <f t="shared" ref="F26" si="12">SUM(F8:F25)</f>
        <v>364251.72384735104</v>
      </c>
      <c r="G26" s="49"/>
      <c r="H26" s="125">
        <f>H15</f>
        <v>336813.30304024921</v>
      </c>
      <c r="I26" s="49"/>
      <c r="J26" s="50"/>
      <c r="K26" s="51"/>
    </row>
    <row r="27" spans="2:16" ht="16.5" customHeight="1" ns3:dyDescent="0.15">
      <c r="B27" s="5"/>
      <c r="C27" s="5"/>
      <c r="D27" s="5"/>
      <c r="E27" s="49"/>
      <c r="F27" s="124"/>
      <c r="G27" s="126"/>
      <c r="H27" s="125"/>
      <c r="I27" s="49"/>
      <c r="J27" s="49"/>
      <c r="K27" s="51"/>
      <c r="M27" s="120"/>
      <c r="N27" s="120"/>
      <c r="O27" s="121"/>
      <c r="P27" s="120"/>
    </row>
    <row r="28" spans="2:16" ht="15" customHeight="1" ns3:dyDescent="0.15">
      <c r="G28" s="126"/>
      <c r="K28" s="51"/>
      <c r="M28" s="120"/>
      <c r="N28" s="120"/>
      <c r="O28" s="120"/>
      <c r="P28" s="120"/>
    </row>
    <row r="29" spans="2:16" ns3:dyDescent="0.15">
      <c r="K29" s="51"/>
      <c r="M29" s="122"/>
      <c r="N29" s="122"/>
      <c r="O29" s="127"/>
      <c r="P29" s="128"/>
    </row>
    <row r="30" spans="2:16" ns3:dyDescent="0.15">
      <c r="M30" s="122"/>
      <c r="N30" s="122"/>
      <c r="O30" s="128"/>
      <c r="P30" s="128"/>
    </row>
    <row r="31" spans="2:16" ht="16.5" customHeight="1" ns3:dyDescent="0.15">
      <c r="M31" s="120"/>
      <c r="N31" s="120"/>
      <c r="O31" s="121"/>
      <c r="P31" s="120"/>
    </row>
    <row r="32" spans="2:16" ns3:dyDescent="0.15">
      <c r="E32" s="122"/>
      <c r="F32" s="122"/>
      <c r="G32" s="122"/>
      <c r="H32" s="122"/>
      <c r="M32" s="120"/>
      <c r="N32" s="120"/>
      <c r="O32" s="120"/>
      <c r="P32" s="120"/>
    </row>
    <row r="33" spans="5:16" ht="16.5" customHeight="1" ns3:dyDescent="0.15">
      <c r="E33" s="122"/>
      <c r="F33" s="122"/>
      <c r="G33" s="122"/>
      <c r="H33" s="122"/>
      <c r="M33" s="122" t="s">
        <v>39</v>
      </c>
      <c r="N33" s="122"/>
      <c r="O33" s="122"/>
      <c r="P33" s="122"/>
    </row>
    <row r="34" spans="5:16" ns3:dyDescent="0.15">
      <c r="M34" s="122"/>
      <c r="N34" s="122"/>
      <c r="O34" s="122"/>
      <c r="P34" s="122"/>
    </row>
  </sheetData>
  <mergeCells count="30">
    <mergeCell ref="M31:N32"/>
    <mergeCell ref="O31:P32"/>
    <mergeCell ref="E32:H33"/>
    <mergeCell ref="M33:P34"/>
    <mergeCell ref="F26:F27"/>
    <mergeCell ref="H26:H27"/>
    <mergeCell ref="G27:G28"/>
    <mergeCell ref="M27:N28"/>
    <mergeCell ref="O27:P28"/>
    <mergeCell ref="M29:N30"/>
    <mergeCell ref="O29:P30"/>
    <mergeCell ref="M18:N19"/>
    <mergeCell ref="O18:P19"/>
    <mergeCell ref="M21:N22"/>
    <mergeCell ref="O21:P22"/>
    <mergeCell ref="M23:N24"/>
    <mergeCell ref="O23:P24"/>
    <mergeCell ref="M7:N7"/>
    <mergeCell ref="O7:P7"/>
    <mergeCell ref="M14:N15"/>
    <mergeCell ref="O14:P15"/>
    <mergeCell ref="M16:N17"/>
    <mergeCell ref="O16:P17"/>
    <mergeCell ref="K6:K7"/>
    <mergeCell ref="B6:B7"/>
    <mergeCell ref="D6:D7"/>
    <mergeCell ref="E6:F6"/>
    <mergeCell ref="G6:H6"/>
    <mergeCell ref="I6:J6"/>
    <mergeCell ref="C6:C7"/>
  </mergeCells>
  <pageMargins left="0.7" right="0.7" top="0.75" bottom="0.75" header="0.3" footer="0.3"/>
  <pageSetup paperSize="9" scale="55" orientation="landscape" ns4:id="rId1"/>
  <drawing ns4:id="rId2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100-000000000000}">
  <sheetPr>
    <pageSetUpPr fitToPage="1"/>
  </sheetPr>
  <dimension ref="A1:S40"/>
  <sheetViews>
    <sheetView showGridLines="0" topLeftCell="A12" zoomScale="125" zoomScaleNormal="80" workbookViewId="0">
      <selection activeCell="N14" sqref="N14:S20"/>
    </sheetView>
  </sheetViews>
  <sheetFormatPr defaultColWidth="11.43359375" defaultRowHeight="13.5" ns3:dyDescent="0.15"/>
  <cols>
    <col min="1" max="1" width="11.43359375" style="2"/>
    <col min="2" max="2" width="13.31640625" style="2" bestFit="1" customWidth="1"/>
    <col min="3" max="3" width="7.6640625" style="2" bestFit="1" customWidth="1"/>
    <col min="4" max="4" width="11.97265625" style="2" bestFit="1" customWidth="1"/>
    <col min="5" max="6" width="11.97265625" style="2" hidden="1" customWidth="1"/>
    <col min="7" max="7" width="16.6796875" style="2" customWidth="1"/>
    <col min="8" max="8" width="9.28125" style="2" bestFit="1" customWidth="1"/>
    <col min="9" max="9" width="14.125" style="2" bestFit="1" customWidth="1"/>
    <col min="10" max="10" width="0" style="2" hidden="1" customWidth="1"/>
    <col min="11" max="11" width="13.44921875" style="2" hidden="1" customWidth="1"/>
    <col min="12" max="15" width="11.43359375" style="2"/>
    <col min="16" max="17" width="11.97265625" style="2" customWidth="1"/>
    <col min="18" max="18" width="11.43359375" style="2"/>
    <col min="19" max="19" width="13.046875" style="2" bestFit="1" customWidth="1"/>
    <col min="20" max="16384" width="11.43359375" style="2"/>
  </cols>
  <sheetData>
    <row r="1" spans="1:19" ht="24.75" ns3:dyDescent="0.3">
      <c r="B1" s="86" t="s">
        <v>73</v>
      </c>
    </row>
    <row r="2" spans="1:19" ns3:dyDescent="0.15">
      <c r="B2" s="2" t="s">
        <v>53</v>
      </c>
      <c r="N2" s="147"/>
      <c r="O2" s="147"/>
    </row>
    <row r="3" spans="1:19" ns3:dyDescent="0.15">
      <c r="N3" s="147"/>
      <c r="O3" s="147"/>
    </row>
    <row r="4" spans="1:19" ns3:dyDescent="0.15">
      <c r="B4" s="2" t="s">
        <v>57</v>
      </c>
      <c r="D4" s="29">
        <v>35000</v>
      </c>
      <c r="E4" s="2" t="s">
        <v>34</v>
      </c>
      <c r="F4" s="19">
        <f>D4*L9</f>
        <v>309050</v>
      </c>
      <c r="G4" s="2">
        <f>D4*8.32</f>
        <v>291200</v>
      </c>
      <c r="N4" s="147"/>
      <c r="O4" s="147"/>
    </row>
    <row r="5" spans="1:19" ns3:dyDescent="0.15">
      <c r="B5" s="2" t="s">
        <v>58</v>
      </c>
      <c r="D5" s="29">
        <v>35000</v>
      </c>
      <c r="E5" s="2" t="s">
        <v>34</v>
      </c>
      <c r="F5" s="19">
        <f>D5*L9</f>
        <v>309050</v>
      </c>
      <c r="N5" s="147"/>
      <c r="O5" s="147"/>
    </row>
    <row r="6" spans="1:19" ht="17.25" customHeight="1" ns3:dyDescent="0.15">
      <c r="N6" s="147"/>
      <c r="O6" s="147"/>
    </row>
    <row r="7" spans="1:19" ht="15" customHeight="1" ns3:dyDescent="0.15">
      <c r="B7" s="142"/>
      <c r="C7" s="138" t="s">
        <v>1</v>
      </c>
      <c r="D7" s="139"/>
      <c r="E7" s="138" t="s">
        <v>56</v>
      </c>
      <c r="F7" s="139"/>
      <c r="G7" s="91"/>
      <c r="H7" s="152" t="s">
        <v>8</v>
      </c>
      <c r="I7" s="153"/>
      <c r="J7" s="138" t="s">
        <v>6</v>
      </c>
      <c r="K7" s="139"/>
      <c r="L7" s="142" t="s">
        <v>2</v>
      </c>
      <c r="M7" s="3"/>
      <c r="N7" s="147"/>
      <c r="O7" s="147"/>
      <c r="Q7" s="146"/>
      <c r="R7" s="146"/>
    </row>
    <row r="8" spans="1:19" ht="16.5" ns3:dyDescent="0.15">
      <c r="B8" s="143"/>
      <c r="C8" s="80" t="s">
        <v>3</v>
      </c>
      <c r="D8" s="80" t="s">
        <v>4</v>
      </c>
      <c r="E8" s="80" t="s">
        <v>3</v>
      </c>
      <c r="F8" s="80" t="s">
        <v>4</v>
      </c>
      <c r="G8" s="80"/>
      <c r="H8" s="79" t="s">
        <v>3</v>
      </c>
      <c r="I8" s="79" t="s">
        <v>4</v>
      </c>
      <c r="J8" s="80" t="s">
        <v>3</v>
      </c>
      <c r="K8" s="80" t="s">
        <v>4</v>
      </c>
      <c r="L8" s="143"/>
      <c r="M8" s="3"/>
      <c r="N8" s="75"/>
      <c r="O8" s="75"/>
      <c r="Q8" s="146"/>
      <c r="R8" s="146"/>
    </row>
    <row r="9" spans="1:19" ht="15" ns3:dyDescent="0.2">
      <c r="A9" s="2">
        <v>1</v>
      </c>
      <c r="B9" s="54">
        <v>23</v>
      </c>
      <c r="C9" s="53">
        <v>2217</v>
      </c>
      <c r="D9" s="11">
        <f t="shared" ref="D9:D28" si="0">C9*L9</f>
        <v>19576.11</v>
      </c>
      <c r="E9" s="11"/>
      <c r="F9" s="11">
        <f>E9*L9</f>
        <v>0</v>
      </c>
      <c r="G9" s="11">
        <f>F9+D9</f>
        <v>19576.11</v>
      </c>
      <c r="H9" s="12"/>
      <c r="I9" s="12">
        <v>0</v>
      </c>
      <c r="J9" s="10">
        <v>35000</v>
      </c>
      <c r="K9" s="13">
        <f>J9*L9</f>
        <v>309050</v>
      </c>
      <c r="L9" s="55">
        <v>8.83</v>
      </c>
      <c r="N9" s="76"/>
      <c r="O9" s="77"/>
      <c r="Q9" s="78"/>
      <c r="R9" s="78"/>
    </row>
    <row r="10" spans="1:19" ht="15" ns3:dyDescent="0.2">
      <c r="A10" s="2">
        <v>2</v>
      </c>
      <c r="B10" s="54">
        <f>B9+1</f>
        <v>24</v>
      </c>
      <c r="C10" s="53">
        <f>C9</f>
        <v>2217</v>
      </c>
      <c r="D10" s="11">
        <f t="shared" si="0"/>
        <v>20457.034949999997</v>
      </c>
      <c r="E10" s="11"/>
      <c r="F10" s="11">
        <f t="shared" ref="F10:F28" si="1">E10*L10</f>
        <v>0</v>
      </c>
      <c r="G10" s="11">
        <f t="shared" ref="G10:G28" si="2">F10+D10</f>
        <v>20457.034949999997</v>
      </c>
      <c r="H10" s="12"/>
      <c r="I10" s="12">
        <v>0</v>
      </c>
      <c r="J10" s="10">
        <v>35000</v>
      </c>
      <c r="K10" s="13">
        <f t="shared" ref="K10:K28" si="3">J10*L10</f>
        <v>322957.25</v>
      </c>
      <c r="L10" s="55">
        <f>L9*1.045</f>
        <v>9.22735</v>
      </c>
      <c r="N10" s="76"/>
      <c r="O10" s="77"/>
      <c r="Q10" s="76"/>
      <c r="R10" s="77"/>
    </row>
    <row r="11" spans="1:19" ht="15.75" thickBot="1" ns3:dyDescent="0.25">
      <c r="A11" s="2">
        <v>3</v>
      </c>
      <c r="B11" s="54">
        <f t="shared" ref="B11:B28" si="4">B10+1</f>
        <v>25</v>
      </c>
      <c r="C11" s="53">
        <f t="shared" ref="C11:C28" si="5">C10</f>
        <v>2217</v>
      </c>
      <c r="D11" s="11">
        <f t="shared" si="0"/>
        <v>21377.601522749996</v>
      </c>
      <c r="E11" s="11"/>
      <c r="F11" s="11">
        <f t="shared" si="1"/>
        <v>0</v>
      </c>
      <c r="G11" s="11">
        <f t="shared" si="2"/>
        <v>21377.601522749996</v>
      </c>
      <c r="H11" s="12"/>
      <c r="I11" s="12">
        <v>0</v>
      </c>
      <c r="J11" s="10">
        <v>35000</v>
      </c>
      <c r="K11" s="13">
        <f t="shared" si="3"/>
        <v>337490.3262499999</v>
      </c>
      <c r="L11" s="55">
        <f t="shared" ref="L11:L28" si="6">L10*1.045</f>
        <v>9.642580749999999</v>
      </c>
      <c r="N11" s="76"/>
      <c r="O11" s="77"/>
      <c r="Q11" s="76"/>
      <c r="R11" s="77"/>
    </row>
    <row r="12" spans="1:19" ht="15" ns3:dyDescent="0.2">
      <c r="A12" s="2">
        <v>4</v>
      </c>
      <c r="B12" s="54">
        <f t="shared" si="4"/>
        <v>26</v>
      </c>
      <c r="C12" s="53">
        <f t="shared" si="5"/>
        <v>2217</v>
      </c>
      <c r="D12" s="11">
        <f t="shared" si="0"/>
        <v>22339.593591273748</v>
      </c>
      <c r="E12" s="11"/>
      <c r="F12" s="11">
        <f t="shared" si="1"/>
        <v>0</v>
      </c>
      <c r="G12" s="11">
        <f t="shared" si="2"/>
        <v>22339.593591273748</v>
      </c>
      <c r="H12" s="12"/>
      <c r="I12" s="12">
        <v>0</v>
      </c>
      <c r="J12" s="10">
        <v>35000</v>
      </c>
      <c r="K12" s="13">
        <f t="shared" si="3"/>
        <v>352677.39093124995</v>
      </c>
      <c r="L12" s="55">
        <f t="shared" si="6"/>
        <v>10.076496883749998</v>
      </c>
      <c r="N12" s="148" t="s">
        <v>45</v>
      </c>
      <c r="O12" s="149"/>
      <c r="P12" s="149"/>
      <c r="Q12" s="149"/>
      <c r="R12" s="140" t="s">
        <v>23</v>
      </c>
      <c r="S12" s="140" t="s">
        <v>54</v>
      </c>
    </row>
    <row r="13" spans="1:19" ht="15" ns3:dyDescent="0.2">
      <c r="A13" s="2">
        <v>5</v>
      </c>
      <c r="B13" s="54">
        <f t="shared" si="4"/>
        <v>27</v>
      </c>
      <c r="C13" s="53">
        <f t="shared" si="5"/>
        <v>2217</v>
      </c>
      <c r="D13" s="11">
        <f t="shared" si="0"/>
        <v>23344.87530288106</v>
      </c>
      <c r="E13" s="11"/>
      <c r="F13" s="11">
        <f t="shared" si="1"/>
        <v>0</v>
      </c>
      <c r="G13" s="11">
        <f t="shared" si="2"/>
        <v>23344.87530288106</v>
      </c>
      <c r="H13" s="21">
        <v>1750</v>
      </c>
      <c r="I13" s="22">
        <f>H13*L13</f>
        <v>18427.393676157808</v>
      </c>
      <c r="J13" s="10">
        <v>35000</v>
      </c>
      <c r="K13" s="13">
        <f t="shared" si="3"/>
        <v>368547.87352315616</v>
      </c>
      <c r="L13" s="55">
        <f t="shared" si="6"/>
        <v>10.529939243518747</v>
      </c>
      <c r="N13" s="150"/>
      <c r="O13" s="151"/>
      <c r="P13" s="151"/>
      <c r="Q13" s="151"/>
      <c r="R13" s="141"/>
      <c r="S13" s="141"/>
    </row>
    <row r="14" spans="1:19" ht="15" ns3:dyDescent="0.2">
      <c r="A14" s="2">
        <v>6</v>
      </c>
      <c r="B14" s="54">
        <f t="shared" si="4"/>
        <v>28</v>
      </c>
      <c r="C14" s="53">
        <f t="shared" si="5"/>
        <v>2217</v>
      </c>
      <c r="D14" s="11">
        <f t="shared" si="0"/>
        <v>24395.394691510708</v>
      </c>
      <c r="E14" s="11"/>
      <c r="F14" s="11">
        <f t="shared" si="1"/>
        <v>0</v>
      </c>
      <c r="G14" s="11">
        <f t="shared" si="2"/>
        <v>24395.394691510708</v>
      </c>
      <c r="H14" s="52"/>
      <c r="I14" s="23">
        <v>0</v>
      </c>
      <c r="J14" s="10">
        <v>35000</v>
      </c>
      <c r="K14" s="13">
        <f t="shared" si="3"/>
        <v>385132.5278316981</v>
      </c>
      <c r="L14" s="55">
        <f t="shared" si="6"/>
        <v>11.00378650947709</v>
      </c>
      <c r="N14" s="129" t="s">
        <v>46</v>
      </c>
      <c r="O14" s="130"/>
      <c r="P14" s="130"/>
      <c r="Q14" s="130"/>
      <c r="R14" s="31">
        <v>1</v>
      </c>
      <c r="S14" s="85">
        <f>R14*$K9</f>
        <v>309050</v>
      </c>
    </row>
    <row r="15" spans="1:19" ht="15" ns3:dyDescent="0.2">
      <c r="A15" s="2">
        <v>7</v>
      </c>
      <c r="B15" s="54">
        <f t="shared" si="4"/>
        <v>29</v>
      </c>
      <c r="C15" s="53">
        <f t="shared" si="5"/>
        <v>2217</v>
      </c>
      <c r="D15" s="11">
        <f t="shared" si="0"/>
        <v>25493.18745262869</v>
      </c>
      <c r="E15" s="11"/>
      <c r="F15" s="11">
        <f t="shared" si="1"/>
        <v>0</v>
      </c>
      <c r="G15" s="11">
        <f t="shared" si="2"/>
        <v>25493.18745262869</v>
      </c>
      <c r="H15" s="21">
        <v>1750</v>
      </c>
      <c r="I15" s="22">
        <f t="shared" ref="I15:I28" si="7">H15*L15</f>
        <v>20123.174579206225</v>
      </c>
      <c r="J15" s="10">
        <v>35000</v>
      </c>
      <c r="K15" s="13">
        <f t="shared" si="3"/>
        <v>402463.4915841245</v>
      </c>
      <c r="L15" s="55">
        <f t="shared" si="6"/>
        <v>11.498956902403558</v>
      </c>
      <c r="N15" s="129" t="s">
        <v>47</v>
      </c>
      <c r="O15" s="130"/>
      <c r="P15" s="130"/>
      <c r="Q15" s="130"/>
      <c r="R15" s="31">
        <v>0.47</v>
      </c>
      <c r="S15" s="85">
        <f t="shared" ref="S15:S20" si="8">R15*$K10</f>
        <v>151063.64000000001</v>
      </c>
    </row>
    <row r="16" spans="1:19" ht="15" ns3:dyDescent="0.2">
      <c r="A16" s="2">
        <v>8</v>
      </c>
      <c r="B16" s="54">
        <f t="shared" si="4"/>
        <v>30</v>
      </c>
      <c r="C16" s="53">
        <f t="shared" si="5"/>
        <v>2217</v>
      </c>
      <c r="D16" s="11">
        <f t="shared" si="0"/>
        <v>26640.38088799698</v>
      </c>
      <c r="E16" s="11"/>
      <c r="F16" s="11">
        <f t="shared" si="1"/>
        <v>0</v>
      </c>
      <c r="G16" s="11">
        <f t="shared" si="2"/>
        <v>26640.38088799698</v>
      </c>
      <c r="H16" s="24"/>
      <c r="I16" s="23">
        <v>0</v>
      </c>
      <c r="J16" s="10">
        <v>35000</v>
      </c>
      <c r="K16" s="13">
        <f t="shared" si="3"/>
        <v>420574.34870541014</v>
      </c>
      <c r="L16" s="55">
        <f t="shared" si="6"/>
        <v>12.016409963011718</v>
      </c>
      <c r="N16" s="129" t="s">
        <v>48</v>
      </c>
      <c r="O16" s="130"/>
      <c r="P16" s="130"/>
      <c r="Q16" s="130"/>
      <c r="R16" s="31">
        <v>0.38</v>
      </c>
      <c r="S16" s="85">
        <f t="shared" si="8"/>
        <v>127022.02240000002</v>
      </c>
    </row>
    <row r="17" spans="1:19" ht="15" ns3:dyDescent="0.2">
      <c r="A17" s="2">
        <v>9</v>
      </c>
      <c r="B17" s="54">
        <f t="shared" si="4"/>
        <v>31</v>
      </c>
      <c r="C17" s="53">
        <f t="shared" si="5"/>
        <v>2217</v>
      </c>
      <c r="D17" s="11">
        <f t="shared" si="0"/>
        <v>27839.19802795684</v>
      </c>
      <c r="E17" s="11"/>
      <c r="F17" s="11">
        <f t="shared" si="1"/>
        <v>0</v>
      </c>
      <c r="G17" s="11">
        <f t="shared" si="2"/>
        <v>27839.19802795684</v>
      </c>
      <c r="H17" s="21">
        <v>1750</v>
      </c>
      <c r="I17" s="22">
        <f t="shared" si="7"/>
        <v>21975.009719857677</v>
      </c>
      <c r="J17" s="10">
        <v>35000</v>
      </c>
      <c r="K17" s="13">
        <f t="shared" si="3"/>
        <v>439500.19439715357</v>
      </c>
      <c r="L17" s="55">
        <f t="shared" si="6"/>
        <v>12.557148411347244</v>
      </c>
      <c r="N17" s="129" t="s">
        <v>49</v>
      </c>
      <c r="O17" s="130"/>
      <c r="P17" s="130"/>
      <c r="Q17" s="130"/>
      <c r="R17" s="31">
        <v>0.21</v>
      </c>
      <c r="S17" s="85">
        <f t="shared" si="8"/>
        <v>73004.236032000015</v>
      </c>
    </row>
    <row r="18" spans="1:19" ht="15" ns3:dyDescent="0.2">
      <c r="A18" s="2">
        <v>10</v>
      </c>
      <c r="B18" s="54">
        <f t="shared" si="4"/>
        <v>32</v>
      </c>
      <c r="C18" s="53">
        <f t="shared" si="5"/>
        <v>2217</v>
      </c>
      <c r="D18" s="11">
        <f t="shared" si="0"/>
        <v>29091.961939214896</v>
      </c>
      <c r="E18" s="11"/>
      <c r="F18" s="11">
        <f t="shared" si="1"/>
        <v>0</v>
      </c>
      <c r="G18" s="11">
        <f t="shared" si="2"/>
        <v>29091.961939214896</v>
      </c>
      <c r="H18" s="24"/>
      <c r="I18" s="23">
        <v>0</v>
      </c>
      <c r="J18" s="10">
        <v>35000</v>
      </c>
      <c r="K18" s="13">
        <f t="shared" si="3"/>
        <v>459277.7031450254</v>
      </c>
      <c r="L18" s="55">
        <f t="shared" si="6"/>
        <v>13.12222008985787</v>
      </c>
      <c r="N18" s="129" t="s">
        <v>50</v>
      </c>
      <c r="O18" s="130"/>
      <c r="P18" s="130"/>
      <c r="Q18" s="130"/>
      <c r="R18" s="31">
        <v>0.12</v>
      </c>
      <c r="S18" s="85">
        <f t="shared" si="8"/>
        <v>43385.374556160008</v>
      </c>
    </row>
    <row r="19" spans="1:19" ht="15" ns3:dyDescent="0.2">
      <c r="A19" s="2">
        <v>11</v>
      </c>
      <c r="B19" s="54">
        <f t="shared" si="4"/>
        <v>33</v>
      </c>
      <c r="C19" s="53">
        <f t="shared" si="5"/>
        <v>2217</v>
      </c>
      <c r="D19" s="11">
        <f t="shared" si="0"/>
        <v>30401.100226479564</v>
      </c>
      <c r="E19" s="11"/>
      <c r="F19" s="11">
        <f t="shared" si="1"/>
        <v>0</v>
      </c>
      <c r="G19" s="11">
        <f t="shared" si="2"/>
        <v>30401.100226479564</v>
      </c>
      <c r="H19" s="21">
        <v>1750</v>
      </c>
      <c r="I19" s="22">
        <f t="shared" si="7"/>
        <v>23997.259989327576</v>
      </c>
      <c r="J19" s="10">
        <v>35000</v>
      </c>
      <c r="K19" s="13">
        <f t="shared" si="3"/>
        <v>479945.19978655153</v>
      </c>
      <c r="L19" s="55">
        <f t="shared" si="6"/>
        <v>13.712719993901473</v>
      </c>
      <c r="N19" s="129" t="s">
        <v>51</v>
      </c>
      <c r="O19" s="130"/>
      <c r="P19" s="130"/>
      <c r="Q19" s="130"/>
      <c r="R19" s="31">
        <v>0.12</v>
      </c>
      <c r="S19" s="85">
        <f t="shared" si="8"/>
        <v>45120.78953840641</v>
      </c>
    </row>
    <row r="20" spans="1:19" ht="15.75" thickBot="1" ns3:dyDescent="0.25">
      <c r="A20" s="2">
        <v>12</v>
      </c>
      <c r="B20" s="54">
        <f t="shared" si="4"/>
        <v>34</v>
      </c>
      <c r="C20" s="53">
        <f t="shared" si="5"/>
        <v>2217</v>
      </c>
      <c r="D20" s="11">
        <f t="shared" si="0"/>
        <v>31769.149736671145</v>
      </c>
      <c r="E20" s="11"/>
      <c r="F20" s="11">
        <f t="shared" si="1"/>
        <v>0</v>
      </c>
      <c r="G20" s="11">
        <f t="shared" si="2"/>
        <v>31769.149736671145</v>
      </c>
      <c r="H20" s="24"/>
      <c r="I20" s="23">
        <v>0</v>
      </c>
      <c r="J20" s="10">
        <v>35000</v>
      </c>
      <c r="K20" s="13">
        <f t="shared" si="3"/>
        <v>501542.7337769463</v>
      </c>
      <c r="L20" s="55">
        <f t="shared" si="6"/>
        <v>14.329792393627038</v>
      </c>
      <c r="N20" s="131" t="s">
        <v>52</v>
      </c>
      <c r="O20" s="132"/>
      <c r="P20" s="132"/>
      <c r="Q20" s="132"/>
      <c r="R20" s="32">
        <v>0.09</v>
      </c>
      <c r="S20" s="85">
        <f t="shared" si="8"/>
        <v>35194.215839957003</v>
      </c>
    </row>
    <row r="21" spans="1:19" ht="15" ns3:dyDescent="0.2">
      <c r="A21" s="2">
        <v>13</v>
      </c>
      <c r="B21" s="54">
        <f t="shared" si="4"/>
        <v>35</v>
      </c>
      <c r="C21" s="53">
        <f t="shared" si="5"/>
        <v>2217</v>
      </c>
      <c r="D21" s="11">
        <f t="shared" si="0"/>
        <v>33198.761474821345</v>
      </c>
      <c r="E21" s="11"/>
      <c r="F21" s="11">
        <f t="shared" si="1"/>
        <v>0</v>
      </c>
      <c r="G21" s="11">
        <f t="shared" si="2"/>
        <v>33198.761474821345</v>
      </c>
      <c r="H21" s="21">
        <v>1750</v>
      </c>
      <c r="I21" s="22">
        <f t="shared" si="7"/>
        <v>26205.607839845445</v>
      </c>
      <c r="J21" s="10">
        <v>35000</v>
      </c>
      <c r="K21" s="13">
        <f t="shared" si="3"/>
        <v>524112.1567969089</v>
      </c>
      <c r="L21" s="55">
        <f t="shared" si="6"/>
        <v>14.974633051340254</v>
      </c>
    </row>
    <row r="22" spans="1:19" ht="15" ns3:dyDescent="0.2">
      <c r="A22" s="2">
        <v>14</v>
      </c>
      <c r="B22" s="54">
        <f t="shared" si="4"/>
        <v>36</v>
      </c>
      <c r="C22" s="53">
        <f t="shared" si="5"/>
        <v>2217</v>
      </c>
      <c r="D22" s="11">
        <f t="shared" si="0"/>
        <v>34692.7057411883</v>
      </c>
      <c r="E22" s="11"/>
      <c r="F22" s="11">
        <f t="shared" si="1"/>
        <v>0</v>
      </c>
      <c r="G22" s="11">
        <f t="shared" si="2"/>
        <v>34692.7057411883</v>
      </c>
      <c r="H22" s="24"/>
      <c r="I22" s="23">
        <v>0</v>
      </c>
      <c r="J22" s="10">
        <v>35000</v>
      </c>
      <c r="K22" s="13">
        <f t="shared" si="3"/>
        <v>547697.2038527697</v>
      </c>
      <c r="L22" s="55">
        <f t="shared" si="6"/>
        <v>15.648491538650564</v>
      </c>
    </row>
    <row r="23" spans="1:19" ht="15" ns3:dyDescent="0.2">
      <c r="A23" s="2">
        <v>15</v>
      </c>
      <c r="B23" s="54">
        <f t="shared" si="4"/>
        <v>37</v>
      </c>
      <c r="C23" s="53">
        <f t="shared" si="5"/>
        <v>2217</v>
      </c>
      <c r="D23" s="11">
        <f t="shared" si="0"/>
        <v>36253.87749954177</v>
      </c>
      <c r="E23" s="11"/>
      <c r="F23" s="11">
        <f t="shared" si="1"/>
        <v>0</v>
      </c>
      <c r="G23" s="11">
        <f t="shared" si="2"/>
        <v>36253.87749954177</v>
      </c>
      <c r="H23" s="21">
        <v>1750</v>
      </c>
      <c r="I23" s="22">
        <f t="shared" si="7"/>
        <v>28617.178901307216</v>
      </c>
      <c r="J23" s="10">
        <v>35000</v>
      </c>
      <c r="K23" s="13">
        <f t="shared" si="3"/>
        <v>572343.5780261443</v>
      </c>
      <c r="L23" s="55">
        <f t="shared" si="6"/>
        <v>16.352673657889838</v>
      </c>
    </row>
    <row r="24" spans="1:19" ht="15" ns3:dyDescent="0.2">
      <c r="A24" s="2">
        <v>16</v>
      </c>
      <c r="B24" s="54">
        <f t="shared" si="4"/>
        <v>38</v>
      </c>
      <c r="C24" s="53">
        <f t="shared" si="5"/>
        <v>2217</v>
      </c>
      <c r="D24" s="11">
        <f t="shared" si="0"/>
        <v>37885.30198702115</v>
      </c>
      <c r="E24" s="11"/>
      <c r="F24" s="11">
        <f t="shared" si="1"/>
        <v>0</v>
      </c>
      <c r="G24" s="11">
        <f t="shared" si="2"/>
        <v>37885.30198702115</v>
      </c>
      <c r="H24" s="24"/>
      <c r="I24" s="23">
        <v>0</v>
      </c>
      <c r="J24" s="10">
        <v>35000</v>
      </c>
      <c r="K24" s="13">
        <f t="shared" si="3"/>
        <v>598099.0390373208</v>
      </c>
      <c r="L24" s="55">
        <f t="shared" si="6"/>
        <v>17.08854397249488</v>
      </c>
    </row>
    <row r="25" spans="1:19" ht="15" ns3:dyDescent="0.2">
      <c r="A25" s="2">
        <v>17</v>
      </c>
      <c r="B25" s="54">
        <f t="shared" si="4"/>
        <v>39</v>
      </c>
      <c r="C25" s="53">
        <f t="shared" si="5"/>
        <v>2217</v>
      </c>
      <c r="D25" s="11">
        <f t="shared" si="0"/>
        <v>39590.140576437094</v>
      </c>
      <c r="E25" s="11"/>
      <c r="F25" s="11">
        <f t="shared" si="1"/>
        <v>0</v>
      </c>
      <c r="G25" s="11">
        <f t="shared" si="2"/>
        <v>39590.140576437094</v>
      </c>
      <c r="H25" s="21">
        <v>1750</v>
      </c>
      <c r="I25" s="22">
        <f t="shared" si="7"/>
        <v>31250.674789700006</v>
      </c>
      <c r="J25" s="10">
        <v>35000</v>
      </c>
      <c r="K25" s="13">
        <f t="shared" si="3"/>
        <v>625013.4957940001</v>
      </c>
      <c r="L25" s="55">
        <f t="shared" si="6"/>
        <v>17.857528451257146</v>
      </c>
    </row>
    <row r="26" spans="1:19" ht="15" ns3:dyDescent="0.2">
      <c r="A26" s="2">
        <v>18</v>
      </c>
      <c r="B26" s="54">
        <f t="shared" si="4"/>
        <v>40</v>
      </c>
      <c r="C26" s="53">
        <f t="shared" si="5"/>
        <v>2217</v>
      </c>
      <c r="D26" s="11">
        <f t="shared" si="0"/>
        <v>41371.69690237675</v>
      </c>
      <c r="E26" s="11"/>
      <c r="F26" s="11">
        <f t="shared" si="1"/>
        <v>0</v>
      </c>
      <c r="G26" s="11">
        <f t="shared" si="2"/>
        <v>41371.69690237675</v>
      </c>
      <c r="H26" s="24"/>
      <c r="I26" s="23">
        <v>0</v>
      </c>
      <c r="J26" s="10">
        <v>35000</v>
      </c>
      <c r="K26" s="13">
        <f t="shared" si="3"/>
        <v>653139.10310473</v>
      </c>
      <c r="L26" s="55">
        <f t="shared" si="6"/>
        <v>18.661117231563715</v>
      </c>
    </row>
    <row r="27" spans="1:19" ht="15" ns3:dyDescent="0.2">
      <c r="A27" s="2">
        <v>19</v>
      </c>
      <c r="B27" s="54">
        <f t="shared" si="4"/>
        <v>41</v>
      </c>
      <c r="C27" s="53">
        <f t="shared" si="5"/>
        <v>2217</v>
      </c>
      <c r="D27" s="11">
        <f t="shared" si="0"/>
        <v>43233.423262983706</v>
      </c>
      <c r="E27" s="11"/>
      <c r="F27" s="11">
        <f t="shared" si="1"/>
        <v>0</v>
      </c>
      <c r="G27" s="11">
        <f t="shared" si="2"/>
        <v>43233.423262983706</v>
      </c>
      <c r="H27" s="24"/>
      <c r="I27" s="23">
        <v>0</v>
      </c>
      <c r="J27" s="10">
        <v>35000</v>
      </c>
      <c r="K27" s="13">
        <f t="shared" si="3"/>
        <v>682530.3627444428</v>
      </c>
      <c r="L27" s="55">
        <f t="shared" si="6"/>
        <v>19.50086750698408</v>
      </c>
    </row>
    <row r="28" spans="1:19" ht="15" ns3:dyDescent="0.2">
      <c r="A28" s="2">
        <v>20</v>
      </c>
      <c r="B28" s="54">
        <f t="shared" si="4"/>
        <v>42</v>
      </c>
      <c r="C28" s="53">
        <f t="shared" si="5"/>
        <v>2217</v>
      </c>
      <c r="D28" s="11">
        <f t="shared" si="0"/>
        <v>45178.92730981797</v>
      </c>
      <c r="E28" s="11"/>
      <c r="F28" s="11">
        <f t="shared" si="1"/>
        <v>0</v>
      </c>
      <c r="G28" s="11">
        <f t="shared" si="2"/>
        <v>45178.92730981797</v>
      </c>
      <c r="H28" s="21">
        <v>28000</v>
      </c>
      <c r="I28" s="22">
        <f t="shared" si="7"/>
        <v>570595.3832543541</v>
      </c>
      <c r="J28" s="10">
        <v>35000</v>
      </c>
      <c r="K28" s="13">
        <f t="shared" si="3"/>
        <v>713244.2290679427</v>
      </c>
      <c r="L28" s="55">
        <f t="shared" si="6"/>
        <v>20.378406544798363</v>
      </c>
    </row>
    <row r="29" spans="1:19" ht="14.25" thickBot="1" ns3:dyDescent="0.2">
      <c r="F29" s="16">
        <f>SUM(F9:F28)</f>
        <v>0</v>
      </c>
      <c r="G29" s="16">
        <f>SUM(G9:G28)</f>
        <v>614130.4230835517</v>
      </c>
      <c r="I29" s="19"/>
      <c r="L29" s="20"/>
    </row>
    <row r="30" spans="1:19" ht="18.75" thickBot="1" ns3:dyDescent="0.25">
      <c r="C30" s="144">
        <f>SUM(D9:D29)</f>
        <v>614130.4230835517</v>
      </c>
      <c r="D30" s="144"/>
      <c r="E30" s="90" t="s">
        <v>71</v>
      </c>
      <c r="F30" s="90"/>
      <c r="G30" s="90"/>
      <c r="I30" s="145">
        <f>I13+I15+I17+I19+I21+I23+I25+I28+F29</f>
        <v>682989.18323207251</v>
      </c>
      <c r="J30" s="145"/>
      <c r="L30" s="88">
        <f>G9/365</f>
        <v>53.633178082191783</v>
      </c>
      <c r="M30" s="87" t="s">
        <v>55</v>
      </c>
    </row>
    <row r="31" spans="1:19" ns3:dyDescent="0.15">
      <c r="G31" s="67"/>
    </row>
    <row r="32" spans="1:19" ht="14.25" ns3:dyDescent="0.15">
      <c r="D32" s="133">
        <f>I30-G30</f>
        <v>682989.18323207251</v>
      </c>
      <c r="E32" s="133"/>
      <c r="F32" s="133"/>
      <c r="G32" s="133"/>
      <c r="H32" s="133"/>
      <c r="I32" s="133"/>
      <c r="J32" s="95" t="s">
        <v>72</v>
      </c>
    </row>
    <row r="33" spans="2:9" ns3:dyDescent="0.15">
      <c r="D33" s="133"/>
      <c r="E33" s="133"/>
      <c r="F33" s="133"/>
      <c r="G33" s="133"/>
      <c r="H33" s="133"/>
      <c r="I33" s="133"/>
    </row>
    <row r="35" spans="2:9" ns3:dyDescent="0.15">
      <c r="B35" s="134"/>
      <c r="C35" s="134"/>
      <c r="D35" s="135"/>
      <c r="E35" s="135"/>
      <c r="F35" s="135"/>
      <c r="G35" s="135"/>
      <c r="H35" s="135"/>
      <c r="I35" s="74"/>
    </row>
    <row r="36" spans="2:9" ns3:dyDescent="0.15">
      <c r="B36" s="134"/>
      <c r="C36" s="134"/>
      <c r="D36" s="135"/>
      <c r="E36" s="135"/>
      <c r="F36" s="135"/>
      <c r="G36" s="135"/>
      <c r="H36" s="135"/>
      <c r="I36" s="74"/>
    </row>
    <row r="37" spans="2:9" ht="14.1" customHeight="1" ns3:dyDescent="0.15">
      <c r="B37" s="108"/>
      <c r="C37" s="108"/>
      <c r="D37" s="107"/>
      <c r="E37" s="107"/>
      <c r="F37" s="107"/>
      <c r="G37" s="107"/>
      <c r="H37" s="107"/>
    </row>
    <row r="38" spans="2:9" ht="14.1" customHeight="1" ns3:dyDescent="0.15">
      <c r="B38" s="108"/>
      <c r="C38" s="108"/>
      <c r="D38" s="107"/>
      <c r="E38" s="107"/>
      <c r="F38" s="107"/>
      <c r="G38" s="107"/>
      <c r="H38" s="107"/>
    </row>
    <row r="39" spans="2:9" ht="14.1" customHeight="1" ns3:dyDescent="0.15">
      <c r="B39" s="136"/>
      <c r="C39" s="136"/>
      <c r="D39" s="137"/>
      <c r="E39" s="137"/>
      <c r="F39" s="137"/>
      <c r="G39" s="137"/>
      <c r="H39" s="137"/>
    </row>
    <row r="40" spans="2:9" ht="15" customHeight="1" ns3:dyDescent="0.15">
      <c r="B40" s="136"/>
      <c r="C40" s="136"/>
      <c r="D40" s="137"/>
      <c r="E40" s="137"/>
      <c r="F40" s="137"/>
      <c r="G40" s="137"/>
      <c r="H40" s="137"/>
    </row>
  </sheetData>
  <mergeCells count="27">
    <mergeCell ref="S12:S13"/>
    <mergeCell ref="B7:B8"/>
    <mergeCell ref="R12:R13"/>
    <mergeCell ref="C30:D30"/>
    <mergeCell ref="I30:J30"/>
    <mergeCell ref="Q7:R8"/>
    <mergeCell ref="N2:O7"/>
    <mergeCell ref="N17:Q17"/>
    <mergeCell ref="N14:Q14"/>
    <mergeCell ref="N15:Q15"/>
    <mergeCell ref="N16:Q16"/>
    <mergeCell ref="N12:Q13"/>
    <mergeCell ref="L7:L8"/>
    <mergeCell ref="C7:D7"/>
    <mergeCell ref="H7:I7"/>
    <mergeCell ref="J7:K7"/>
    <mergeCell ref="B37:C38"/>
    <mergeCell ref="D37:H38"/>
    <mergeCell ref="B39:C40"/>
    <mergeCell ref="D39:H40"/>
    <mergeCell ref="E7:F7"/>
    <mergeCell ref="N18:Q18"/>
    <mergeCell ref="N19:Q19"/>
    <mergeCell ref="N20:Q20"/>
    <mergeCell ref="D32:I33"/>
    <mergeCell ref="B35:C36"/>
    <mergeCell ref="D35:H36"/>
  </mergeCells>
  <pageMargins left="0.7" right="0.7" top="0.75" bottom="0.75" header="0.3" footer="0.3"/>
  <pageSetup scale="66" orientation="landscape" ns4:id="rId1"/>
  <drawing ns4:id="rId2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200-000000000000}">
  <dimension ref="A1:P49"/>
  <sheetViews>
    <sheetView showGridLines="0" zoomScale="59" workbookViewId="0">
      <selection activeCell="K30" sqref="K30"/>
    </sheetView>
  </sheetViews>
  <sheetFormatPr defaultColWidth="11.43359375" defaultRowHeight="13.5" ns3:dyDescent="0.15"/>
  <cols>
    <col min="1" max="3" width="11.43359375" style="2"/>
    <col min="4" max="4" width="12.77734375" style="2" customWidth="1"/>
    <col min="5" max="5" width="12.64453125" style="2" bestFit="1" customWidth="1"/>
    <col min="6" max="6" width="13.44921875" style="2" customWidth="1"/>
    <col min="7" max="7" width="11.43359375" style="2"/>
    <col min="8" max="10" width="13.046875" style="2" customWidth="1"/>
    <col min="11" max="11" width="11.43359375" style="2"/>
    <col min="12" max="12" width="14.125" style="2" bestFit="1" customWidth="1"/>
    <col min="13" max="13" width="11.8359375" style="2" customWidth="1"/>
    <col min="14" max="15" width="11.43359375" style="2"/>
    <col min="16" max="16" width="13.85546875" style="2" bestFit="1" customWidth="1"/>
    <col min="17" max="16384" width="11.43359375" style="2"/>
  </cols>
  <sheetData>
    <row r="1" spans="1:16" ht="14.25" thickBot="1" ns3:dyDescent="0.2"/>
    <row r="2" spans="1:16" ns3:dyDescent="0.15">
      <c r="B2" s="190" t="s">
        <v>0</v>
      </c>
      <c r="C2" s="170" t="s">
        <v>1</v>
      </c>
      <c r="D2" s="170"/>
      <c r="E2" s="187" t="s">
        <v>5</v>
      </c>
      <c r="F2" s="187"/>
      <c r="G2" s="170" t="s">
        <v>15</v>
      </c>
      <c r="H2" s="170"/>
      <c r="I2" s="170" t="s">
        <v>14</v>
      </c>
      <c r="J2" s="170"/>
      <c r="K2" s="187" t="s">
        <v>6</v>
      </c>
      <c r="L2" s="187"/>
      <c r="M2" s="188" t="s">
        <v>2</v>
      </c>
    </row>
    <row r="3" spans="1:16" ht="17.25" customHeight="1" thickBot="1" ns3:dyDescent="0.2">
      <c r="B3" s="191"/>
      <c r="C3" s="4" t="s">
        <v>3</v>
      </c>
      <c r="D3" s="4" t="s">
        <v>4</v>
      </c>
      <c r="E3" s="25" t="s">
        <v>3</v>
      </c>
      <c r="F3" s="25" t="s">
        <v>4</v>
      </c>
      <c r="G3" s="4" t="s">
        <v>3</v>
      </c>
      <c r="H3" s="4" t="s">
        <v>4</v>
      </c>
      <c r="I3" s="4" t="s">
        <v>3</v>
      </c>
      <c r="J3" s="4" t="s">
        <v>4</v>
      </c>
      <c r="K3" s="25" t="s">
        <v>3</v>
      </c>
      <c r="L3" s="25" t="s">
        <v>4</v>
      </c>
      <c r="M3" s="189"/>
    </row>
    <row r="4" spans="1:16" ns3:dyDescent="0.15">
      <c r="A4" s="2">
        <v>1</v>
      </c>
      <c r="B4" s="26">
        <v>34</v>
      </c>
      <c r="C4" s="17">
        <v>2274</v>
      </c>
      <c r="D4" s="7">
        <f t="shared" ref="D4:D23" si="0">C4*M4</f>
        <v>13891.424844000001</v>
      </c>
      <c r="E4" s="27">
        <v>6000</v>
      </c>
      <c r="F4" s="7">
        <f t="shared" ref="F4:F23" si="1">E4*M4</f>
        <v>36652.836000000003</v>
      </c>
      <c r="G4" s="27">
        <v>4948</v>
      </c>
      <c r="H4" s="7">
        <f t="shared" ref="H4:H23" si="2">G4*M4</f>
        <v>30226.372088000004</v>
      </c>
      <c r="I4" s="17">
        <v>0</v>
      </c>
      <c r="J4" s="7">
        <v>0</v>
      </c>
      <c r="K4" s="6">
        <v>200000</v>
      </c>
      <c r="L4" s="7">
        <f>K4*M4</f>
        <v>1221761.2000000002</v>
      </c>
      <c r="M4" s="9">
        <v>6.1088060000000004</v>
      </c>
    </row>
    <row r="5" spans="1:16" ns3:dyDescent="0.15">
      <c r="A5" s="2">
        <v>2</v>
      </c>
      <c r="B5" s="28">
        <v>35</v>
      </c>
      <c r="C5" s="17">
        <v>2274</v>
      </c>
      <c r="D5" s="11">
        <f t="shared" si="0"/>
        <v>14516.538961979999</v>
      </c>
      <c r="E5" s="17">
        <v>6000</v>
      </c>
      <c r="F5" s="11">
        <f t="shared" si="1"/>
        <v>38302.213619999995</v>
      </c>
      <c r="G5" s="17">
        <v>12982</v>
      </c>
      <c r="H5" s="11">
        <f t="shared" si="2"/>
        <v>82873.222869139994</v>
      </c>
      <c r="I5" s="17">
        <v>551</v>
      </c>
      <c r="J5" s="11">
        <v>3517.41995077</v>
      </c>
      <c r="K5" s="10">
        <v>200000</v>
      </c>
      <c r="L5" s="11">
        <f t="shared" ref="L5:L23" si="3">K5*M5</f>
        <v>1276740.4539999999</v>
      </c>
      <c r="M5" s="14">
        <v>6.3837022699999997</v>
      </c>
      <c r="P5" s="19"/>
    </row>
    <row r="6" spans="1:16" ns3:dyDescent="0.15">
      <c r="A6" s="2">
        <v>3</v>
      </c>
      <c r="B6" s="28">
        <v>36</v>
      </c>
      <c r="C6" s="17">
        <v>2274</v>
      </c>
      <c r="D6" s="11">
        <f t="shared" si="0"/>
        <v>15169.783215269099</v>
      </c>
      <c r="E6" s="17">
        <v>6000</v>
      </c>
      <c r="F6" s="11">
        <f t="shared" si="1"/>
        <v>40025.8132329</v>
      </c>
      <c r="G6" s="17">
        <v>21247</v>
      </c>
      <c r="H6" s="11">
        <f t="shared" si="2"/>
        <v>141738.07562657105</v>
      </c>
      <c r="I6" s="17">
        <v>2308</v>
      </c>
      <c r="J6" s="11">
        <v>15396.596156922198</v>
      </c>
      <c r="K6" s="10">
        <v>200000</v>
      </c>
      <c r="L6" s="11">
        <f t="shared" si="3"/>
        <v>1334193.77443</v>
      </c>
      <c r="M6" s="14">
        <v>6.6709688721499996</v>
      </c>
      <c r="O6" s="29"/>
      <c r="P6" s="19"/>
    </row>
    <row r="7" spans="1:16" ns3:dyDescent="0.15">
      <c r="A7" s="2">
        <v>4</v>
      </c>
      <c r="B7" s="28">
        <v>37</v>
      </c>
      <c r="C7" s="17">
        <v>2274</v>
      </c>
      <c r="D7" s="11">
        <f t="shared" si="0"/>
        <v>15852.423459956206</v>
      </c>
      <c r="E7" s="17">
        <v>6000</v>
      </c>
      <c r="F7" s="11">
        <f t="shared" si="1"/>
        <v>41826.974828380495</v>
      </c>
      <c r="G7" s="17">
        <v>29750</v>
      </c>
      <c r="H7" s="11">
        <f t="shared" si="2"/>
        <v>207392.08352405328</v>
      </c>
      <c r="I7" s="17">
        <v>4097</v>
      </c>
      <c r="J7" s="11">
        <v>28560.85264531248</v>
      </c>
      <c r="K7" s="10">
        <v>200000</v>
      </c>
      <c r="L7" s="11">
        <f t="shared" si="3"/>
        <v>1394232.4942793497</v>
      </c>
      <c r="M7" s="14">
        <v>6.9711624713967488</v>
      </c>
      <c r="O7" s="29"/>
      <c r="P7" s="19"/>
    </row>
    <row r="8" spans="1:16" ns3:dyDescent="0.15">
      <c r="A8" s="2">
        <v>5</v>
      </c>
      <c r="B8" s="28">
        <v>38</v>
      </c>
      <c r="C8" s="17">
        <v>2274</v>
      </c>
      <c r="D8" s="11">
        <f t="shared" si="0"/>
        <v>16565.782515654235</v>
      </c>
      <c r="E8" s="17">
        <v>6000</v>
      </c>
      <c r="F8" s="11">
        <f t="shared" si="1"/>
        <v>43709.188695657613</v>
      </c>
      <c r="G8" s="17">
        <v>38500</v>
      </c>
      <c r="H8" s="11">
        <f t="shared" si="2"/>
        <v>280467.29413046967</v>
      </c>
      <c r="I8" s="17">
        <v>5918</v>
      </c>
      <c r="J8" s="11">
        <v>43111.829783483627</v>
      </c>
      <c r="K8" s="10">
        <v>200000</v>
      </c>
      <c r="L8" s="11">
        <f t="shared" si="3"/>
        <v>1456972.9565219204</v>
      </c>
      <c r="M8" s="14">
        <v>7.2848647826096018</v>
      </c>
      <c r="O8" s="29"/>
      <c r="P8" s="19"/>
    </row>
    <row r="9" spans="1:16" ns3:dyDescent="0.15">
      <c r="A9" s="2">
        <v>6</v>
      </c>
      <c r="B9" s="28">
        <v>39</v>
      </c>
      <c r="C9" s="17">
        <v>2274</v>
      </c>
      <c r="D9" s="11">
        <f t="shared" si="0"/>
        <v>17311.242728858673</v>
      </c>
      <c r="E9" s="17"/>
      <c r="F9" s="11">
        <f t="shared" si="1"/>
        <v>0</v>
      </c>
      <c r="G9" s="17">
        <v>41384</v>
      </c>
      <c r="H9" s="11">
        <f t="shared" si="2"/>
        <v>315043.30215087393</v>
      </c>
      <c r="I9" s="17">
        <v>7770</v>
      </c>
      <c r="J9" s="11">
        <v>59150.552332116051</v>
      </c>
      <c r="K9" s="10">
        <v>200000</v>
      </c>
      <c r="L9" s="11">
        <f t="shared" si="3"/>
        <v>1522536.7395654067</v>
      </c>
      <c r="M9" s="14">
        <v>7.6126836978270331</v>
      </c>
      <c r="O9" s="29"/>
      <c r="P9" s="19"/>
    </row>
    <row r="10" spans="1:16" ns3:dyDescent="0.15">
      <c r="A10" s="2">
        <v>7</v>
      </c>
      <c r="B10" s="28">
        <v>40</v>
      </c>
      <c r="C10" s="17">
        <v>2274</v>
      </c>
      <c r="D10" s="11">
        <f t="shared" si="0"/>
        <v>18090.248651657312</v>
      </c>
      <c r="E10" s="17"/>
      <c r="F10" s="11">
        <f t="shared" si="1"/>
        <v>0</v>
      </c>
      <c r="G10" s="17">
        <v>44343</v>
      </c>
      <c r="H10" s="11">
        <f t="shared" si="2"/>
        <v>352759.84870731761</v>
      </c>
      <c r="I10" s="17">
        <v>9653</v>
      </c>
      <c r="J10" s="11">
        <v>76792.071343204938</v>
      </c>
      <c r="K10" s="10">
        <v>200000</v>
      </c>
      <c r="L10" s="11">
        <f t="shared" si="3"/>
        <v>1591050.8928458497</v>
      </c>
      <c r="M10" s="14">
        <v>7.9552544642292489</v>
      </c>
      <c r="O10" s="29"/>
      <c r="P10" s="19"/>
    </row>
    <row r="11" spans="1:16" ns3:dyDescent="0.15">
      <c r="A11" s="2">
        <v>8</v>
      </c>
      <c r="B11" s="28">
        <v>41</v>
      </c>
      <c r="C11" s="17">
        <v>2274</v>
      </c>
      <c r="D11" s="11">
        <f t="shared" si="0"/>
        <v>18904.309840981889</v>
      </c>
      <c r="E11" s="17"/>
      <c r="F11" s="11">
        <f t="shared" si="1"/>
        <v>0</v>
      </c>
      <c r="G11" s="17">
        <v>47381</v>
      </c>
      <c r="H11" s="11">
        <f t="shared" si="2"/>
        <v>393889.66779928008</v>
      </c>
      <c r="I11" s="17">
        <v>11568</v>
      </c>
      <c r="J11" s="11">
        <v>96167.570906103123</v>
      </c>
      <c r="K11" s="10">
        <v>200000</v>
      </c>
      <c r="L11" s="11">
        <f t="shared" si="3"/>
        <v>1662648.1830239128</v>
      </c>
      <c r="M11" s="14">
        <v>8.3132409151195645</v>
      </c>
      <c r="O11" s="29"/>
      <c r="P11" s="19"/>
    </row>
    <row r="12" spans="1:16" ns3:dyDescent="0.15">
      <c r="A12" s="2">
        <v>9</v>
      </c>
      <c r="B12" s="28">
        <v>42</v>
      </c>
      <c r="C12" s="17">
        <v>2274</v>
      </c>
      <c r="D12" s="11">
        <f t="shared" si="0"/>
        <v>19755.003783826072</v>
      </c>
      <c r="E12" s="17"/>
      <c r="F12" s="11">
        <f t="shared" si="1"/>
        <v>0</v>
      </c>
      <c r="G12" s="17">
        <v>50498</v>
      </c>
      <c r="H12" s="11">
        <f t="shared" si="2"/>
        <v>438693.13151963457</v>
      </c>
      <c r="I12" s="17">
        <v>13513</v>
      </c>
      <c r="J12" s="11">
        <v>117391.98158788114</v>
      </c>
      <c r="K12" s="10">
        <v>200000</v>
      </c>
      <c r="L12" s="11">
        <f t="shared" si="3"/>
        <v>1737467.3512599887</v>
      </c>
      <c r="M12" s="14">
        <v>8.6873367562999437</v>
      </c>
      <c r="O12" s="29"/>
      <c r="P12" s="19"/>
    </row>
    <row r="13" spans="1:16" ns3:dyDescent="0.15">
      <c r="A13" s="2">
        <v>10</v>
      </c>
      <c r="B13" s="28">
        <v>43</v>
      </c>
      <c r="C13" s="17">
        <v>2274</v>
      </c>
      <c r="D13" s="11">
        <f t="shared" si="0"/>
        <v>20643.978954098242</v>
      </c>
      <c r="E13" s="17"/>
      <c r="F13" s="11">
        <f t="shared" si="1"/>
        <v>0</v>
      </c>
      <c r="G13" s="17">
        <v>53695</v>
      </c>
      <c r="H13" s="11">
        <f t="shared" si="2"/>
        <v>487457.54175035405</v>
      </c>
      <c r="I13" s="17">
        <v>15488</v>
      </c>
      <c r="J13" s="11">
        <v>140604.19790724432</v>
      </c>
      <c r="K13" s="10">
        <v>200000</v>
      </c>
      <c r="L13" s="11">
        <f t="shared" si="3"/>
        <v>1815653.382066688</v>
      </c>
      <c r="M13" s="14">
        <v>9.0782669103334399</v>
      </c>
      <c r="O13" s="29"/>
      <c r="P13" s="19"/>
    </row>
    <row r="14" spans="1:16" ns3:dyDescent="0.15">
      <c r="A14" s="2">
        <v>11</v>
      </c>
      <c r="B14" s="28">
        <v>44</v>
      </c>
      <c r="C14" s="17">
        <v>2274</v>
      </c>
      <c r="D14" s="11">
        <f t="shared" si="0"/>
        <v>21572.958007032663</v>
      </c>
      <c r="E14" s="17"/>
      <c r="F14" s="11">
        <f t="shared" si="1"/>
        <v>0</v>
      </c>
      <c r="G14" s="17">
        <v>57228</v>
      </c>
      <c r="H14" s="11">
        <f t="shared" si="2"/>
        <v>542909.95638806734</v>
      </c>
      <c r="I14" s="17">
        <v>17746</v>
      </c>
      <c r="J14" s="11">
        <v>168352.5561973622</v>
      </c>
      <c r="K14" s="10">
        <v>200000</v>
      </c>
      <c r="L14" s="11">
        <f t="shared" si="3"/>
        <v>1897357.7842596888</v>
      </c>
      <c r="M14" s="14">
        <v>9.4867889212984444</v>
      </c>
      <c r="O14" s="29"/>
      <c r="P14" s="19"/>
    </row>
    <row r="15" spans="1:16" ns3:dyDescent="0.15">
      <c r="A15" s="2">
        <v>12</v>
      </c>
      <c r="B15" s="28">
        <v>45</v>
      </c>
      <c r="C15" s="17">
        <v>2274</v>
      </c>
      <c r="D15" s="11">
        <f t="shared" si="0"/>
        <v>22543.741117349131</v>
      </c>
      <c r="E15" s="17"/>
      <c r="F15" s="11">
        <f t="shared" si="1"/>
        <v>0</v>
      </c>
      <c r="G15" s="17">
        <v>60381</v>
      </c>
      <c r="H15" s="11">
        <f t="shared" si="2"/>
        <v>598598.78294048284</v>
      </c>
      <c r="I15" s="17">
        <v>19568</v>
      </c>
      <c r="J15" s="11">
        <v>193991.17246450653</v>
      </c>
      <c r="K15" s="10">
        <v>200000</v>
      </c>
      <c r="L15" s="11">
        <f t="shared" si="3"/>
        <v>1982738.8845513749</v>
      </c>
      <c r="M15" s="14">
        <v>9.9136944227568744</v>
      </c>
      <c r="O15" s="29"/>
      <c r="P15" s="19"/>
    </row>
    <row r="16" spans="1:16" ns3:dyDescent="0.15">
      <c r="A16" s="2">
        <v>13</v>
      </c>
      <c r="B16" s="28">
        <v>46</v>
      </c>
      <c r="C16" s="17">
        <v>2274</v>
      </c>
      <c r="D16" s="11">
        <f t="shared" si="0"/>
        <v>23558.20946762984</v>
      </c>
      <c r="E16" s="17"/>
      <c r="F16" s="11">
        <f t="shared" si="1"/>
        <v>0</v>
      </c>
      <c r="G16" s="17">
        <v>63598</v>
      </c>
      <c r="H16" s="11">
        <f t="shared" si="2"/>
        <v>658863.23910392378</v>
      </c>
      <c r="I16" s="17">
        <v>21398</v>
      </c>
      <c r="J16" s="11">
        <v>221679.22875476841</v>
      </c>
      <c r="K16" s="10">
        <v>200000</v>
      </c>
      <c r="L16" s="11">
        <f t="shared" si="3"/>
        <v>2071962.1343561865</v>
      </c>
      <c r="M16" s="14">
        <v>10.359810671780933</v>
      </c>
      <c r="O16" s="29"/>
      <c r="P16" s="19"/>
    </row>
    <row r="17" spans="1:16" ns3:dyDescent="0.15">
      <c r="A17" s="2">
        <v>14</v>
      </c>
      <c r="B17" s="28">
        <v>47</v>
      </c>
      <c r="C17" s="17">
        <v>2274</v>
      </c>
      <c r="D17" s="11">
        <f t="shared" si="0"/>
        <v>24618.328893673184</v>
      </c>
      <c r="E17" s="17"/>
      <c r="F17" s="11">
        <f t="shared" si="1"/>
        <v>0</v>
      </c>
      <c r="G17" s="17">
        <v>66877</v>
      </c>
      <c r="H17" s="11">
        <f t="shared" si="2"/>
        <v>724010.54592004465</v>
      </c>
      <c r="I17" s="17">
        <v>23229</v>
      </c>
      <c r="J17" s="11">
        <v>251477.20398906525</v>
      </c>
      <c r="K17" s="10">
        <v>200000</v>
      </c>
      <c r="L17" s="11">
        <f t="shared" si="3"/>
        <v>2165200.4304022151</v>
      </c>
      <c r="M17" s="14">
        <v>10.826002152011075</v>
      </c>
      <c r="O17" s="29"/>
      <c r="P17" s="19"/>
    </row>
    <row r="18" spans="1:16" ns3:dyDescent="0.15">
      <c r="A18" s="2">
        <v>15</v>
      </c>
      <c r="B18" s="28">
        <v>48</v>
      </c>
      <c r="C18" s="17">
        <v>2274</v>
      </c>
      <c r="D18" s="11">
        <f t="shared" si="0"/>
        <v>25726.153693888475</v>
      </c>
      <c r="E18" s="17"/>
      <c r="F18" s="11">
        <f t="shared" si="1"/>
        <v>0</v>
      </c>
      <c r="G18" s="17">
        <v>70213</v>
      </c>
      <c r="H18" s="11">
        <f t="shared" si="2"/>
        <v>794331.76310861541</v>
      </c>
      <c r="I18" s="17">
        <v>25054</v>
      </c>
      <c r="J18" s="11">
        <v>283440.21752272727</v>
      </c>
      <c r="K18" s="10">
        <v>200000</v>
      </c>
      <c r="L18" s="11">
        <f t="shared" si="3"/>
        <v>2262634.4497703146</v>
      </c>
      <c r="M18" s="14">
        <v>11.313172248851572</v>
      </c>
      <c r="O18" s="29"/>
      <c r="P18" s="19"/>
    </row>
    <row r="19" spans="1:16" ns3:dyDescent="0.15">
      <c r="A19" s="2">
        <v>16</v>
      </c>
      <c r="B19" s="28">
        <v>49</v>
      </c>
      <c r="C19" s="17">
        <v>2274</v>
      </c>
      <c r="D19" s="11">
        <f t="shared" si="0"/>
        <v>26883.830610113455</v>
      </c>
      <c r="E19" s="17"/>
      <c r="F19" s="11">
        <f t="shared" si="1"/>
        <v>0</v>
      </c>
      <c r="G19" s="17">
        <v>73601</v>
      </c>
      <c r="H19" s="11">
        <f t="shared" si="2"/>
        <v>870130.52626867208</v>
      </c>
      <c r="I19" s="17">
        <v>26867</v>
      </c>
      <c r="J19" s="11">
        <v>317628.79375634046</v>
      </c>
      <c r="K19" s="10">
        <v>200000</v>
      </c>
      <c r="L19" s="11">
        <f t="shared" si="3"/>
        <v>2364453.0000099787</v>
      </c>
      <c r="M19" s="14">
        <v>11.822265000049892</v>
      </c>
      <c r="O19" s="29"/>
      <c r="P19" s="19"/>
    </row>
    <row r="20" spans="1:16" ns3:dyDescent="0.15">
      <c r="A20" s="2">
        <v>17</v>
      </c>
      <c r="B20" s="28">
        <v>50</v>
      </c>
      <c r="C20" s="17">
        <v>2274</v>
      </c>
      <c r="D20" s="11">
        <f t="shared" si="0"/>
        <v>28093.60298756856</v>
      </c>
      <c r="E20" s="17"/>
      <c r="F20" s="11">
        <f t="shared" si="1"/>
        <v>0</v>
      </c>
      <c r="G20" s="17">
        <v>77036</v>
      </c>
      <c r="H20" s="11">
        <f t="shared" si="2"/>
        <v>951723.30683831638</v>
      </c>
      <c r="I20" s="17">
        <v>28657</v>
      </c>
      <c r="J20" s="11">
        <v>354036.22727121908</v>
      </c>
      <c r="K20" s="10">
        <v>200000</v>
      </c>
      <c r="L20" s="11">
        <f t="shared" si="3"/>
        <v>2470853.3850104273</v>
      </c>
      <c r="M20" s="14">
        <v>12.354266925052137</v>
      </c>
      <c r="O20" s="29"/>
      <c r="P20" s="19"/>
    </row>
    <row r="21" spans="1:16" ns3:dyDescent="0.15">
      <c r="A21" s="2">
        <v>18</v>
      </c>
      <c r="B21" s="28">
        <v>51</v>
      </c>
      <c r="C21" s="17">
        <v>2274</v>
      </c>
      <c r="D21" s="11">
        <f t="shared" si="0"/>
        <v>29357.815122009146</v>
      </c>
      <c r="E21" s="17"/>
      <c r="F21" s="11">
        <f t="shared" si="1"/>
        <v>0</v>
      </c>
      <c r="G21" s="17">
        <v>80505</v>
      </c>
      <c r="H21" s="11">
        <f t="shared" si="2"/>
        <v>1039336.3704473817</v>
      </c>
      <c r="I21" s="17">
        <v>30412</v>
      </c>
      <c r="J21" s="11">
        <v>392625.27418229642</v>
      </c>
      <c r="K21" s="10">
        <v>200000</v>
      </c>
      <c r="L21" s="11">
        <f t="shared" si="3"/>
        <v>2582041.7873358969</v>
      </c>
      <c r="M21" s="14">
        <v>12.910208936679483</v>
      </c>
      <c r="O21" s="29"/>
      <c r="P21" s="19"/>
    </row>
    <row r="22" spans="1:16" ns3:dyDescent="0.15">
      <c r="A22" s="2">
        <v>19</v>
      </c>
      <c r="B22" s="28">
        <v>52</v>
      </c>
      <c r="C22" s="17">
        <v>2274</v>
      </c>
      <c r="D22" s="11">
        <f t="shared" si="0"/>
        <v>30678.916802499556</v>
      </c>
      <c r="E22" s="17"/>
      <c r="F22" s="11">
        <f t="shared" si="1"/>
        <v>0</v>
      </c>
      <c r="G22" s="17">
        <v>84005</v>
      </c>
      <c r="H22" s="11">
        <f t="shared" si="2"/>
        <v>1133325.5963034192</v>
      </c>
      <c r="I22" s="17">
        <v>32122</v>
      </c>
      <c r="J22" s="11">
        <v>433363.30937989918</v>
      </c>
      <c r="K22" s="10">
        <v>200000</v>
      </c>
      <c r="L22" s="11">
        <f t="shared" si="3"/>
        <v>2698233.6677660118</v>
      </c>
      <c r="M22" s="14">
        <v>13.491168338830059</v>
      </c>
      <c r="O22" s="29"/>
      <c r="P22" s="19"/>
    </row>
    <row r="23" spans="1:16" ns3:dyDescent="0.15">
      <c r="A23" s="2">
        <v>20</v>
      </c>
      <c r="B23" s="28">
        <v>53</v>
      </c>
      <c r="C23" s="17">
        <v>2274</v>
      </c>
      <c r="D23" s="11">
        <f t="shared" si="0"/>
        <v>30678.916802499556</v>
      </c>
      <c r="E23" s="17"/>
      <c r="F23" s="11">
        <f t="shared" si="1"/>
        <v>0</v>
      </c>
      <c r="G23" s="17">
        <v>87521</v>
      </c>
      <c r="H23" s="11">
        <f t="shared" si="2"/>
        <v>1180760.5441827455</v>
      </c>
      <c r="I23" s="17">
        <v>33772</v>
      </c>
      <c r="J23" s="11">
        <v>455623.73713896878</v>
      </c>
      <c r="K23" s="10">
        <v>200000</v>
      </c>
      <c r="L23" s="11">
        <f t="shared" si="3"/>
        <v>2698233.6677660118</v>
      </c>
      <c r="M23" s="14">
        <v>13.491168338830059</v>
      </c>
      <c r="O23" s="29"/>
      <c r="P23" s="19"/>
    </row>
    <row r="24" spans="1:16" ns3:dyDescent="0.15">
      <c r="E24" s="29"/>
      <c r="O24" s="29"/>
    </row>
    <row r="25" spans="1:16" ns3:dyDescent="0.15">
      <c r="D25" s="16"/>
      <c r="F25" s="16"/>
      <c r="O25" s="29"/>
    </row>
    <row r="26" spans="1:16" ns3:dyDescent="0.15">
      <c r="O26" s="29"/>
    </row>
    <row r="27" spans="1:16" ns3:dyDescent="0.15">
      <c r="C27" s="122" t="s">
        <v>1</v>
      </c>
      <c r="D27" s="122"/>
      <c r="E27" s="123">
        <f>D4</f>
        <v>13891.424844000001</v>
      </c>
      <c r="F27" s="122"/>
      <c r="G27" s="16"/>
      <c r="O27" s="29"/>
    </row>
    <row r="28" spans="1:16" ns3:dyDescent="0.15">
      <c r="C28" s="122"/>
      <c r="D28" s="122"/>
      <c r="E28" s="122"/>
      <c r="F28" s="122"/>
      <c r="O28" s="29"/>
    </row>
    <row r="29" spans="1:16" ht="14.25" thickBot="1" ns3:dyDescent="0.2">
      <c r="O29" s="29"/>
    </row>
    <row r="30" spans="1:16" ns3:dyDescent="0.15">
      <c r="B30" s="161" t="s">
        <v>19</v>
      </c>
      <c r="C30" s="162"/>
      <c r="D30" s="170" t="s">
        <v>12</v>
      </c>
      <c r="E30" s="170"/>
      <c r="F30" s="162" t="s">
        <v>9</v>
      </c>
      <c r="G30" s="162"/>
      <c r="H30" s="170" t="s">
        <v>10</v>
      </c>
      <c r="I30" s="171"/>
    </row>
    <row r="31" spans="1:16" ht="14.25" thickBot="1" ns3:dyDescent="0.2">
      <c r="B31" s="163"/>
      <c r="C31" s="164"/>
      <c r="D31" s="168"/>
      <c r="E31" s="168"/>
      <c r="F31" s="164"/>
      <c r="G31" s="164"/>
      <c r="H31" s="168"/>
      <c r="I31" s="172"/>
    </row>
    <row r="32" spans="1:16" ns3:dyDescent="0.15">
      <c r="B32" s="184" t="s">
        <v>16</v>
      </c>
      <c r="C32" s="185"/>
      <c r="D32" s="186">
        <f>SUM(D4:D13)</f>
        <v>170700.73695628173</v>
      </c>
      <c r="E32" s="185"/>
      <c r="F32" s="186">
        <f>J13</f>
        <v>140604.19790724432</v>
      </c>
      <c r="G32" s="185"/>
      <c r="H32" s="178"/>
      <c r="I32" s="179"/>
    </row>
    <row r="33" spans="2:12" ns3:dyDescent="0.15">
      <c r="B33" s="165"/>
      <c r="C33" s="166"/>
      <c r="D33" s="166"/>
      <c r="E33" s="166"/>
      <c r="F33" s="166"/>
      <c r="G33" s="166"/>
      <c r="H33" s="175"/>
      <c r="I33" s="174"/>
    </row>
    <row r="34" spans="2:12" ht="16.5" customHeight="1" ns3:dyDescent="0.15">
      <c r="B34" s="165" t="s">
        <v>17</v>
      </c>
      <c r="C34" s="166"/>
      <c r="D34" s="169">
        <f>SUM(D4:D18)</f>
        <v>288720.12813585502</v>
      </c>
      <c r="E34" s="166"/>
      <c r="F34" s="169">
        <f>J18</f>
        <v>283440.21752272727</v>
      </c>
      <c r="G34" s="166"/>
      <c r="H34" s="173"/>
      <c r="I34" s="174"/>
    </row>
    <row r="35" spans="2:12" ns3:dyDescent="0.15">
      <c r="B35" s="165"/>
      <c r="C35" s="166"/>
      <c r="D35" s="166"/>
      <c r="E35" s="166"/>
      <c r="F35" s="166"/>
      <c r="G35" s="166"/>
      <c r="H35" s="175"/>
      <c r="I35" s="174"/>
    </row>
    <row r="36" spans="2:12" ns3:dyDescent="0.15">
      <c r="B36" s="165" t="s">
        <v>18</v>
      </c>
      <c r="C36" s="166"/>
      <c r="D36" s="169">
        <f>SUM(D4:D23)</f>
        <v>434413.21046054526</v>
      </c>
      <c r="E36" s="166"/>
      <c r="F36" s="169">
        <f>J23</f>
        <v>455623.73713896878</v>
      </c>
      <c r="G36" s="166"/>
      <c r="H36" s="173">
        <f>F36-D36</f>
        <v>21210.526678423514</v>
      </c>
      <c r="I36" s="174"/>
    </row>
    <row r="37" spans="2:12" ht="14.25" thickBot="1" ns3:dyDescent="0.2">
      <c r="B37" s="167"/>
      <c r="C37" s="168"/>
      <c r="D37" s="168"/>
      <c r="E37" s="168"/>
      <c r="F37" s="168"/>
      <c r="G37" s="168"/>
      <c r="H37" s="176"/>
      <c r="I37" s="177"/>
    </row>
    <row r="39" spans="2:12" ns3:dyDescent="0.15">
      <c r="C39" s="122" t="s">
        <v>1</v>
      </c>
      <c r="D39" s="122"/>
      <c r="E39" s="123">
        <f>D4+F4</f>
        <v>50544.260844000004</v>
      </c>
      <c r="F39" s="122"/>
    </row>
    <row r="40" spans="2:12" ns3:dyDescent="0.15">
      <c r="C40" s="122"/>
      <c r="D40" s="122"/>
      <c r="E40" s="122"/>
      <c r="F40" s="122"/>
    </row>
    <row r="41" spans="2:12" ht="14.25" thickBot="1" ns3:dyDescent="0.2"/>
    <row r="42" spans="2:12" ns3:dyDescent="0.15">
      <c r="B42" s="161" t="s">
        <v>19</v>
      </c>
      <c r="C42" s="162"/>
      <c r="D42" s="170" t="s">
        <v>12</v>
      </c>
      <c r="E42" s="170"/>
      <c r="F42" s="162" t="s">
        <v>9</v>
      </c>
      <c r="G42" s="162"/>
      <c r="H42" s="180" t="s">
        <v>10</v>
      </c>
      <c r="I42" s="181"/>
      <c r="K42" s="5" t="s">
        <v>20</v>
      </c>
      <c r="L42" s="30">
        <v>0.6</v>
      </c>
    </row>
    <row r="43" spans="2:12" ht="14.25" thickBot="1" ns3:dyDescent="0.2">
      <c r="B43" s="163"/>
      <c r="C43" s="164"/>
      <c r="D43" s="168"/>
      <c r="E43" s="168"/>
      <c r="F43" s="164"/>
      <c r="G43" s="164"/>
      <c r="H43" s="182"/>
      <c r="I43" s="183"/>
      <c r="K43" s="5" t="s">
        <v>22</v>
      </c>
      <c r="L43" s="30">
        <v>0.2</v>
      </c>
    </row>
    <row r="44" spans="2:12" ns3:dyDescent="0.15">
      <c r="B44" s="184" t="s">
        <v>16</v>
      </c>
      <c r="C44" s="185"/>
      <c r="D44" s="186">
        <f>SUM(D4:D13)+SUM(F4:F13)</f>
        <v>371217.76333321986</v>
      </c>
      <c r="E44" s="185"/>
      <c r="F44" s="186">
        <f>H13</f>
        <v>487457.54175035405</v>
      </c>
      <c r="G44" s="185"/>
      <c r="H44" s="154">
        <f>F44-D44</f>
        <v>116239.77841713419</v>
      </c>
      <c r="I44" s="155"/>
      <c r="K44" s="5" t="s">
        <v>21</v>
      </c>
      <c r="L44" s="30">
        <v>0.2</v>
      </c>
    </row>
    <row r="45" spans="2:12" ns3:dyDescent="0.15">
      <c r="B45" s="165"/>
      <c r="C45" s="166"/>
      <c r="D45" s="166"/>
      <c r="E45" s="166"/>
      <c r="F45" s="166"/>
      <c r="G45" s="166"/>
      <c r="H45" s="156"/>
      <c r="I45" s="157"/>
    </row>
    <row r="46" spans="2:12" ns3:dyDescent="0.15">
      <c r="B46" s="165" t="s">
        <v>17</v>
      </c>
      <c r="C46" s="166"/>
      <c r="D46" s="169">
        <f>SUM(D4:D18)+SUM(F4:F18)</f>
        <v>489237.15451279317</v>
      </c>
      <c r="E46" s="166"/>
      <c r="F46" s="169">
        <f>H18</f>
        <v>794331.76310861541</v>
      </c>
      <c r="G46" s="166"/>
      <c r="H46" s="158">
        <f>F46-D46</f>
        <v>305094.60859582224</v>
      </c>
      <c r="I46" s="157"/>
    </row>
    <row r="47" spans="2:12" ns3:dyDescent="0.15">
      <c r="B47" s="165"/>
      <c r="C47" s="166"/>
      <c r="D47" s="166"/>
      <c r="E47" s="166"/>
      <c r="F47" s="166"/>
      <c r="G47" s="166"/>
      <c r="H47" s="156"/>
      <c r="I47" s="157"/>
    </row>
    <row r="48" spans="2:12" ns3:dyDescent="0.15">
      <c r="B48" s="165" t="s">
        <v>18</v>
      </c>
      <c r="C48" s="166"/>
      <c r="D48" s="169">
        <f>SUM(D4:D23)+SUM(F4:F8)</f>
        <v>634930.23683748336</v>
      </c>
      <c r="E48" s="166"/>
      <c r="F48" s="169">
        <f>H23</f>
        <v>1180760.5441827455</v>
      </c>
      <c r="G48" s="166"/>
      <c r="H48" s="158">
        <f>F48-D48</f>
        <v>545830.30734526215</v>
      </c>
      <c r="I48" s="157"/>
    </row>
    <row r="49" spans="2:9" ht="14.25" thickBot="1" ns3:dyDescent="0.2">
      <c r="B49" s="167"/>
      <c r="C49" s="168"/>
      <c r="D49" s="168"/>
      <c r="E49" s="168"/>
      <c r="F49" s="168"/>
      <c r="G49" s="168"/>
      <c r="H49" s="159"/>
      <c r="I49" s="160"/>
    </row>
  </sheetData>
  <mergeCells count="43">
    <mergeCell ref="K2:L2"/>
    <mergeCell ref="M2:M3"/>
    <mergeCell ref="D42:E43"/>
    <mergeCell ref="F42:G43"/>
    <mergeCell ref="B2:B3"/>
    <mergeCell ref="C2:D2"/>
    <mergeCell ref="E2:F2"/>
    <mergeCell ref="G2:H2"/>
    <mergeCell ref="I2:J2"/>
    <mergeCell ref="F30:G31"/>
    <mergeCell ref="F32:G33"/>
    <mergeCell ref="F34:G35"/>
    <mergeCell ref="F36:G37"/>
    <mergeCell ref="B36:C37"/>
    <mergeCell ref="E27:F28"/>
    <mergeCell ref="D32:E33"/>
    <mergeCell ref="D34:E35"/>
    <mergeCell ref="D36:E37"/>
    <mergeCell ref="C27:D28"/>
    <mergeCell ref="B32:C33"/>
    <mergeCell ref="B34:C35"/>
    <mergeCell ref="D30:E31"/>
    <mergeCell ref="D44:E45"/>
    <mergeCell ref="F44:G45"/>
    <mergeCell ref="B46:C47"/>
    <mergeCell ref="D46:E47"/>
    <mergeCell ref="F46:G47"/>
    <mergeCell ref="H44:I45"/>
    <mergeCell ref="H46:I47"/>
    <mergeCell ref="H48:I49"/>
    <mergeCell ref="B30:C31"/>
    <mergeCell ref="B42:C43"/>
    <mergeCell ref="B48:C49"/>
    <mergeCell ref="D48:E49"/>
    <mergeCell ref="F48:G49"/>
    <mergeCell ref="C39:D40"/>
    <mergeCell ref="E39:F40"/>
    <mergeCell ref="H30:I31"/>
    <mergeCell ref="H34:I35"/>
    <mergeCell ref="H36:I37"/>
    <mergeCell ref="H32:I33"/>
    <mergeCell ref="H42:I43"/>
    <mergeCell ref="B44:C45"/>
  </mergeCells>
  <pageMargins left="0.7" right="0.7" top="0.75" bottom="0.75" header="0.3" footer="0.3"/>
  <pageSetup orientation="portrait" ns4:id="rId1"/>
  <drawing ns4:id="rId2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300-000000000000}">
  <dimension ref="A3:T70"/>
  <sheetViews>
    <sheetView showGridLines="0" tabSelected="1" topLeftCell="B1" zoomScale="90" zoomScaleNormal="90" workbookViewId="0">
      <selection activeCell="L6" sqref="L6"/>
    </sheetView>
  </sheetViews>
  <sheetFormatPr defaultColWidth="11.43359375" defaultRowHeight="16.5" ns3:dyDescent="0.2"/>
  <cols>
    <col min="1" max="1" width="9.28125" style="217" customWidth="1"/>
    <col min="2" max="2" width="14.390625" style="33" customWidth="1"/>
    <col min="3" max="3" width="22.8671875" style="33" bestFit="1" customWidth="1"/>
    <col min="4" max="4" width="15.6015625" style="33" customWidth="1"/>
    <col min="5" max="5" width="0" style="33" hidden="1" customWidth="1"/>
    <col min="6" max="6" width="18.29296875" style="33" hidden="1" customWidth="1"/>
    <col min="7" max="7" width="16.0078125" style="217" bestFit="1" customWidth="1"/>
    <col min="8" max="8" width="20.04296875" style="33" customWidth="1"/>
    <col min="9" max="9" width="12.375" style="33" customWidth="1"/>
    <col min="10" max="10" width="12.5078125" style="33" bestFit="1" customWidth="1"/>
    <col min="11" max="14" width="11.43359375" style="33"/>
    <col min="15" max="15" width="14.9296875" style="33" bestFit="1" customWidth="1"/>
    <col min="16" max="16" width="14.52734375" style="212" bestFit="1" customWidth="1"/>
    <col min="17" max="17" width="11.43359375" style="33"/>
    <col min="18" max="18" width="22.05859375" style="33" customWidth="1"/>
    <col min="19" max="19" width="16.94921875" style="33" bestFit="1" customWidth="1"/>
    <col min="20" max="16384" width="11.43359375" style="33"/>
  </cols>
  <sheetData>
    <row r="3" spans="1:20" ht="16.5" customHeight="1" ns3:dyDescent="0.2">
      <c r="B3" s="211" t="s">
        <v>42</v>
      </c>
      <c r="C3" s="213" t="s">
        <v>1</v>
      </c>
      <c r="D3" s="213"/>
      <c r="E3" s="211" t="s">
        <v>11</v>
      </c>
      <c r="F3" s="211"/>
      <c r="G3" s="213" t="s">
        <v>6</v>
      </c>
      <c r="H3" s="213"/>
      <c r="I3" s="211" t="s">
        <v>2</v>
      </c>
      <c r="K3" s="100" t="s">
        <v>24</v>
      </c>
      <c r="L3" s="56"/>
      <c r="M3" s="101" t="s">
        <v>1</v>
      </c>
      <c r="N3" s="101"/>
      <c r="O3" s="101"/>
      <c r="P3" s="211" t="s">
        <v>2</v>
      </c>
      <c r="R3" s="100" t="s">
        <v>43</v>
      </c>
    </row>
    <row r="4" spans="1:20" ns3:dyDescent="0.2">
      <c r="B4" s="211"/>
      <c r="C4" s="214" t="s">
        <v>3</v>
      </c>
      <c r="D4" s="214" t="s">
        <v>4</v>
      </c>
      <c r="E4" s="215" t="s">
        <v>3</v>
      </c>
      <c r="F4" s="215" t="s">
        <v>4</v>
      </c>
      <c r="G4" s="219" t="s">
        <v>3</v>
      </c>
      <c r="H4" s="214" t="s">
        <v>4</v>
      </c>
      <c r="I4" s="211"/>
      <c r="K4" s="100"/>
      <c r="L4" s="56" t="s">
        <v>40</v>
      </c>
      <c r="M4" s="61" t="s">
        <v>41</v>
      </c>
      <c r="N4" s="62" t="s">
        <v>4</v>
      </c>
      <c r="O4" s="62" t="s">
        <v>4</v>
      </c>
      <c r="P4" s="211"/>
      <c r="R4" s="100"/>
    </row>
    <row r="5" spans="1:20" ns3:dyDescent="0.2">
      <c r="A5" s="217">
        <v>1</v>
      </c>
      <c r="B5" s="209">
        <v>23</v>
      </c>
      <c r="C5" s="209">
        <v>3222</v>
      </c>
      <c r="D5" s="216">
        <f>C5*I5</f>
        <v>28514.699999999997</v>
      </c>
      <c r="E5" s="209">
        <f>Hoja5!I37</f>
        <v>0</v>
      </c>
      <c r="F5" s="216">
        <f>E5*I5</f>
        <v>0</v>
      </c>
      <c r="G5" s="220">
        <v>75000</v>
      </c>
      <c r="H5" s="216">
        <f>G5*I5</f>
        <v>663750</v>
      </c>
      <c r="I5" s="209">
        <v>8.85</v>
      </c>
      <c r="K5" s="35">
        <v>65</v>
      </c>
      <c r="L5" s="68">
        <v>606</v>
      </c>
      <c r="M5" s="35">
        <f>L5*12</f>
        <v>7272</v>
      </c>
      <c r="N5" s="63">
        <f>L5*P5</f>
        <v>34064.34900315128</v>
      </c>
      <c r="O5" s="64">
        <f>M5*P5</f>
        <v>408772.18803781533</v>
      </c>
      <c r="P5" s="209">
        <f>I5*(1.045^(K5-B5))</f>
        <v>56.2117970349031</v>
      </c>
      <c r="Q5" s="89">
        <v>128697</v>
      </c>
      <c r="R5" s="210">
        <f>Q5*P5</f>
        <v>7234289.643000924</v>
      </c>
      <c r="S5" s="84"/>
      <c r="T5" s="84"/>
    </row>
    <row r="6" spans="1:20" ns3:dyDescent="0.2">
      <c r="A6" s="217">
        <v>2</v>
      </c>
      <c r="B6" s="209">
        <f>B5+1</f>
        <v>24</v>
      </c>
      <c r="C6" s="209">
        <f>C5</f>
        <v>3222</v>
      </c>
      <c r="D6" s="216">
        <f>C6*I6</f>
        <v>29797.861499999995</v>
      </c>
      <c r="E6" s="209">
        <f>Hoja5!I38</f>
        <v>0</v>
      </c>
      <c r="F6" s="216">
        <f t="shared" ref="F6:F15" si="0">E6*I6</f>
        <v>0</v>
      </c>
      <c r="G6" s="220">
        <f>G5</f>
        <v>75000</v>
      </c>
      <c r="H6" s="216">
        <f t="shared" ref="H6:H15" si="1">G6*I6</f>
        <v>693618.7499999999</v>
      </c>
      <c r="I6" s="209">
        <f>I5*1.045</f>
        <v>9.248249999999999</v>
      </c>
      <c r="J6" s="59"/>
      <c r="K6" s="35">
        <f>K5+1</f>
        <v>66</v>
      </c>
      <c r="L6" s="35">
        <v>606</v>
      </c>
      <c r="M6" s="35">
        <f>L6*12</f>
        <v>7272</v>
      </c>
      <c r="N6" s="63">
        <f>L6*P6</f>
        <v>35597.24470829309</v>
      </c>
      <c r="O6" s="64">
        <f t="shared" ref="O6:O60" si="2">M6*P6</f>
        <v>427166.936499517</v>
      </c>
      <c r="P6" s="209">
        <f>P5*1.045</f>
        <v>58.74132790147374</v>
      </c>
      <c r="Q6" s="68">
        <v>151512</v>
      </c>
    </row>
    <row r="7" spans="1:20" ns3:dyDescent="0.2">
      <c r="A7" s="217">
        <v>3</v>
      </c>
      <c r="B7" s="209">
        <f t="shared" ref="B7:B60" si="3">B6+1</f>
        <v>25</v>
      </c>
      <c r="C7" s="209">
        <f t="shared" ref="C7:C19" si="4">C6</f>
        <v>3222</v>
      </c>
      <c r="D7" s="216">
        <f>C7*I7</f>
        <v>31138.765267499995</v>
      </c>
      <c r="E7" s="209">
        <f>Hoja5!I39</f>
        <v>13467</v>
      </c>
      <c r="F7" s="216">
        <f>E7*I7</f>
        <v>130150.76097374997</v>
      </c>
      <c r="G7" s="220">
        <f t="shared" ref="G7:G30" si="5">G6</f>
        <v>75000</v>
      </c>
      <c r="H7" s="216">
        <f t="shared" si="1"/>
        <v>724831.5937499999</v>
      </c>
      <c r="I7" s="209">
        <f t="shared" ref="I7:I60" si="6">I6*1.045</f>
        <v>9.664421249999998</v>
      </c>
      <c r="K7" s="35">
        <f t="shared" ref="K7:K60" si="7">K6+1</f>
        <v>67</v>
      </c>
      <c r="L7" s="35">
        <f>L6</f>
        <v>606</v>
      </c>
      <c r="M7" s="35">
        <f>L7*12</f>
        <v>7272</v>
      </c>
      <c r="N7" s="63">
        <f>L7*P7</f>
        <v>37199.12072016627</v>
      </c>
      <c r="O7" s="64">
        <f t="shared" si="2"/>
        <v>446389.44864199526</v>
      </c>
      <c r="P7" s="209">
        <f t="shared" ref="P7:P60" si="8">P6*1.045</f>
        <v>61.384687657040054</v>
      </c>
    </row>
    <row r="8" spans="1:20" ns3:dyDescent="0.2">
      <c r="A8" s="217">
        <v>4</v>
      </c>
      <c r="B8" s="209">
        <f t="shared" si="3"/>
        <v>26</v>
      </c>
      <c r="C8" s="209">
        <f t="shared" si="4"/>
        <v>3222</v>
      </c>
      <c r="D8" s="216">
        <f>C8*I8</f>
        <v>32540.00970453749</v>
      </c>
      <c r="E8" s="209">
        <f>Hoja5!I40</f>
        <v>21021</v>
      </c>
      <c r="F8" s="216">
        <f t="shared" si="0"/>
        <v>212297.81005558118</v>
      </c>
      <c r="G8" s="220">
        <f t="shared" si="5"/>
        <v>75000</v>
      </c>
      <c r="H8" s="216">
        <f t="shared" si="1"/>
        <v>757449.0154687498</v>
      </c>
      <c r="I8" s="209">
        <f t="shared" si="6"/>
        <v>10.099320206249997</v>
      </c>
      <c r="K8" s="35">
        <f t="shared" si="7"/>
        <v>68</v>
      </c>
      <c r="L8" s="35">
        <f>L7</f>
        <v>606</v>
      </c>
      <c r="M8" s="35">
        <f t="shared" ref="M8:M60" si="9">L8*12</f>
        <v>7272</v>
      </c>
      <c r="N8" s="63">
        <f t="shared" ref="N8:N60" si="10">L8*P8</f>
        <v>38873.08115257375</v>
      </c>
      <c r="O8" s="64">
        <f t="shared" si="2"/>
        <v>466476.973830885</v>
      </c>
      <c r="P8" s="209">
        <f t="shared" si="8"/>
        <v>64.14699860160685</v>
      </c>
    </row>
    <row r="9" spans="1:20" ns3:dyDescent="0.2">
      <c r="A9" s="217">
        <v>5</v>
      </c>
      <c r="B9" s="209">
        <f t="shared" si="3"/>
        <v>27</v>
      </c>
      <c r="C9" s="209">
        <f t="shared" si="4"/>
        <v>3222</v>
      </c>
      <c r="D9" s="216">
        <f t="shared" ref="D9:D15" si="11">C9*I9</f>
        <v>34004.31014124167</v>
      </c>
      <c r="E9" s="209">
        <f>Hoja5!I41</f>
        <v>29139</v>
      </c>
      <c r="F9" s="216">
        <f t="shared" si="0"/>
        <v>307526.875606965</v>
      </c>
      <c r="G9" s="220">
        <f t="shared" si="5"/>
        <v>75000</v>
      </c>
      <c r="H9" s="216">
        <f t="shared" si="1"/>
        <v>791534.2211648434</v>
      </c>
      <c r="I9" s="209">
        <f t="shared" si="6"/>
        <v>10.553789615531246</v>
      </c>
      <c r="K9" s="35">
        <f t="shared" si="7"/>
        <v>69</v>
      </c>
      <c r="L9" s="35">
        <f t="shared" ref="L9:L60" si="12">L8</f>
        <v>606</v>
      </c>
      <c r="M9" s="35">
        <f t="shared" si="9"/>
        <v>7272</v>
      </c>
      <c r="N9" s="63">
        <f t="shared" si="10"/>
        <v>40622.36980443957</v>
      </c>
      <c r="O9" s="64">
        <f t="shared" si="2"/>
        <v>487468.43765327486</v>
      </c>
      <c r="P9" s="209">
        <f t="shared" si="8"/>
        <v>67.03361353867916</v>
      </c>
    </row>
    <row r="10" spans="1:20" ns3:dyDescent="0.2">
      <c r="A10" s="217">
        <v>6</v>
      </c>
      <c r="B10" s="209">
        <f t="shared" si="3"/>
        <v>28</v>
      </c>
      <c r="C10" s="209">
        <f t="shared" si="4"/>
        <v>3222</v>
      </c>
      <c r="D10" s="216">
        <f t="shared" si="11"/>
        <v>35534.50409759754</v>
      </c>
      <c r="E10" s="209">
        <f>Hoja5!I42</f>
        <v>37842</v>
      </c>
      <c r="F10" s="216">
        <f t="shared" si="0"/>
        <v>417348.44942932535</v>
      </c>
      <c r="G10" s="220">
        <f t="shared" si="5"/>
        <v>75000</v>
      </c>
      <c r="H10" s="216">
        <f t="shared" si="1"/>
        <v>827153.2611172613</v>
      </c>
      <c r="I10" s="209">
        <f t="shared" si="6"/>
        <v>11.02871014823015</v>
      </c>
      <c r="K10" s="35">
        <f t="shared" si="7"/>
        <v>70</v>
      </c>
      <c r="L10" s="35">
        <f t="shared" si="12"/>
        <v>606</v>
      </c>
      <c r="M10" s="35">
        <f t="shared" si="9"/>
        <v>7272</v>
      </c>
      <c r="N10" s="63">
        <f t="shared" si="10"/>
        <v>42450.376445639355</v>
      </c>
      <c r="O10" s="64">
        <f t="shared" si="2"/>
        <v>509404.51734767226</v>
      </c>
      <c r="P10" s="209">
        <f t="shared" si="8"/>
        <v>70.05012614791973</v>
      </c>
    </row>
    <row r="11" spans="1:20" ns3:dyDescent="0.2">
      <c r="A11" s="217">
        <v>7</v>
      </c>
      <c r="B11" s="209">
        <f t="shared" si="3"/>
        <v>29</v>
      </c>
      <c r="C11" s="209">
        <f t="shared" si="4"/>
        <v>3222</v>
      </c>
      <c r="D11" s="216">
        <f t="shared" si="11"/>
        <v>37133.556781989435</v>
      </c>
      <c r="E11" s="209">
        <f>Hoja5!I43</f>
        <v>47157</v>
      </c>
      <c r="F11" s="216">
        <f t="shared" si="0"/>
        <v>543484.5242607932</v>
      </c>
      <c r="G11" s="220">
        <f t="shared" si="5"/>
        <v>75000</v>
      </c>
      <c r="H11" s="216">
        <f t="shared" si="1"/>
        <v>864375.157867538</v>
      </c>
      <c r="I11" s="209">
        <f t="shared" si="6"/>
        <v>11.525002104900507</v>
      </c>
      <c r="K11" s="35">
        <f t="shared" si="7"/>
        <v>71</v>
      </c>
      <c r="L11" s="35">
        <f t="shared" si="12"/>
        <v>606</v>
      </c>
      <c r="M11" s="35">
        <f t="shared" si="9"/>
        <v>7272</v>
      </c>
      <c r="N11" s="63">
        <f t="shared" si="10"/>
        <v>44360.64338569312</v>
      </c>
      <c r="O11" s="64">
        <f t="shared" si="2"/>
        <v>532327.7206283174</v>
      </c>
      <c r="P11" s="209">
        <f t="shared" si="8"/>
        <v>73.20238182457611</v>
      </c>
    </row>
    <row r="12" spans="1:20" ns3:dyDescent="0.2">
      <c r="A12" s="217">
        <v>8</v>
      </c>
      <c r="B12" s="209">
        <f t="shared" si="3"/>
        <v>30</v>
      </c>
      <c r="C12" s="209">
        <f t="shared" si="4"/>
        <v>3222</v>
      </c>
      <c r="D12" s="216">
        <f t="shared" si="11"/>
        <v>38804.56683717895</v>
      </c>
      <c r="E12" s="209">
        <f>Hoja5!I44</f>
        <v>57108</v>
      </c>
      <c r="F12" s="216">
        <f t="shared" si="0"/>
        <v>687787.4621159576</v>
      </c>
      <c r="G12" s="220">
        <f t="shared" si="5"/>
        <v>75000</v>
      </c>
      <c r="H12" s="216">
        <f t="shared" si="1"/>
        <v>903272.0399715771</v>
      </c>
      <c r="I12" s="209">
        <f t="shared" si="6"/>
        <v>12.043627199621028</v>
      </c>
      <c r="K12" s="35">
        <f t="shared" si="7"/>
        <v>72</v>
      </c>
      <c r="L12" s="35">
        <f t="shared" si="12"/>
        <v>606</v>
      </c>
      <c r="M12" s="35">
        <f t="shared" si="9"/>
        <v>7272</v>
      </c>
      <c r="N12" s="63">
        <f t="shared" si="10"/>
        <v>46356.87233804931</v>
      </c>
      <c r="O12" s="64">
        <f t="shared" si="2"/>
        <v>556282.4680565917</v>
      </c>
      <c r="P12" s="209">
        <f t="shared" si="8"/>
        <v>76.49648900668203</v>
      </c>
    </row>
    <row r="13" spans="1:20" ns3:dyDescent="0.2">
      <c r="A13" s="217">
        <v>9</v>
      </c>
      <c r="B13" s="209">
        <f t="shared" si="3"/>
        <v>31</v>
      </c>
      <c r="C13" s="209">
        <f t="shared" si="4"/>
        <v>3222</v>
      </c>
      <c r="D13" s="216">
        <f t="shared" si="11"/>
        <v>40550.772344852005</v>
      </c>
      <c r="E13" s="209">
        <f>Hoja5!I45</f>
        <v>67719</v>
      </c>
      <c r="F13" s="216">
        <f t="shared" si="0"/>
        <v>852283.5978960375</v>
      </c>
      <c r="G13" s="220">
        <f t="shared" si="5"/>
        <v>75000</v>
      </c>
      <c r="H13" s="216">
        <f t="shared" si="1"/>
        <v>943919.281770298</v>
      </c>
      <c r="I13" s="209">
        <f>I12*1.045</f>
        <v>12.585590423603973</v>
      </c>
      <c r="K13" s="35">
        <f t="shared" si="7"/>
        <v>73</v>
      </c>
      <c r="L13" s="35">
        <f t="shared" si="12"/>
        <v>606</v>
      </c>
      <c r="M13" s="35">
        <f t="shared" si="9"/>
        <v>7272</v>
      </c>
      <c r="N13" s="63">
        <f t="shared" si="10"/>
        <v>48442.93159326153</v>
      </c>
      <c r="O13" s="64">
        <f t="shared" si="2"/>
        <v>581315.1791191383</v>
      </c>
      <c r="P13" s="209">
        <f t="shared" si="8"/>
        <v>79.93883101198271</v>
      </c>
    </row>
    <row r="14" spans="1:20" ns3:dyDescent="0.2">
      <c r="A14" s="217">
        <v>10</v>
      </c>
      <c r="B14" s="209">
        <f t="shared" si="3"/>
        <v>32</v>
      </c>
      <c r="C14" s="209">
        <f t="shared" si="4"/>
        <v>3222</v>
      </c>
      <c r="D14" s="216">
        <f t="shared" si="11"/>
        <v>42375.55710037034</v>
      </c>
      <c r="E14" s="209">
        <f>Hoja5!I46</f>
        <v>79026</v>
      </c>
      <c r="F14" s="216">
        <f t="shared" si="0"/>
        <v>1039345.3679124352</v>
      </c>
      <c r="G14" s="220">
        <f t="shared" si="5"/>
        <v>75000</v>
      </c>
      <c r="H14" s="216">
        <f t="shared" si="1"/>
        <v>986395.6494499614</v>
      </c>
      <c r="I14" s="209">
        <f t="shared" si="6"/>
        <v>13.151941992666151</v>
      </c>
      <c r="K14" s="35">
        <f t="shared" si="7"/>
        <v>74</v>
      </c>
      <c r="L14" s="35">
        <f t="shared" si="12"/>
        <v>606</v>
      </c>
      <c r="M14" s="35">
        <f t="shared" si="9"/>
        <v>7272</v>
      </c>
      <c r="N14" s="63">
        <f t="shared" si="10"/>
        <v>50622.863514958284</v>
      </c>
      <c r="O14" s="64">
        <f t="shared" si="2"/>
        <v>607474.3621794995</v>
      </c>
      <c r="P14" s="209">
        <f t="shared" si="8"/>
        <v>83.53607840752193</v>
      </c>
    </row>
    <row r="15" spans="1:20" ns3:dyDescent="0.2">
      <c r="A15" s="217">
        <v>11</v>
      </c>
      <c r="B15" s="209">
        <f t="shared" si="3"/>
        <v>33</v>
      </c>
      <c r="C15" s="209">
        <f t="shared" si="4"/>
        <v>3222</v>
      </c>
      <c r="D15" s="216">
        <f t="shared" si="11"/>
        <v>44282.457169887</v>
      </c>
      <c r="E15" s="209">
        <f>Hoja5!I47</f>
        <v>80862</v>
      </c>
      <c r="F15" s="216">
        <f t="shared" si="0"/>
        <v>1111349.4884144638</v>
      </c>
      <c r="G15" s="220">
        <f t="shared" si="5"/>
        <v>75000</v>
      </c>
      <c r="H15" s="216">
        <f t="shared" si="1"/>
        <v>1030783.4536752095</v>
      </c>
      <c r="I15" s="209">
        <f>I14*1.045</f>
        <v>13.743779382336127</v>
      </c>
      <c r="K15" s="57">
        <f t="shared" si="7"/>
        <v>75</v>
      </c>
      <c r="L15" s="57">
        <f t="shared" si="12"/>
        <v>606</v>
      </c>
      <c r="M15" s="57">
        <f t="shared" si="9"/>
        <v>7272</v>
      </c>
      <c r="N15" s="63">
        <f t="shared" si="10"/>
        <v>52900.892373131406</v>
      </c>
      <c r="O15" s="64">
        <f t="shared" si="2"/>
        <v>634810.7084775768</v>
      </c>
      <c r="P15" s="209">
        <f t="shared" si="8"/>
        <v>87.2952019358604</v>
      </c>
      <c r="Q15" s="60">
        <f>SUM(M5:M15)</f>
        <v>79992</v>
      </c>
      <c r="R15" s="58">
        <f>SUM(O5:O15)</f>
        <v>5657888.940472283</v>
      </c>
    </row>
    <row r="16" spans="1:20" ns3:dyDescent="0.2">
      <c r="A16" s="217">
        <v>12</v>
      </c>
      <c r="B16" s="209">
        <f t="shared" si="3"/>
        <v>34</v>
      </c>
      <c r="C16" s="209">
        <f t="shared" si="4"/>
        <v>3222</v>
      </c>
      <c r="D16" s="216">
        <f t="shared" ref="D16:D20" si="13">C16*I16</f>
        <v>46275.167742531914</v>
      </c>
      <c r="E16" s="209">
        <f>Hoja5!I48</f>
        <v>98073</v>
      </c>
      <c r="F16" s="216">
        <f t="shared" ref="F16:F20" si="14">E16*I16</f>
        <v>1408548.890755224</v>
      </c>
      <c r="G16" s="220">
        <f t="shared" si="5"/>
        <v>75000</v>
      </c>
      <c r="H16" s="216">
        <f t="shared" ref="H16:H20" si="15">G16*I16</f>
        <v>1077168.7090905937</v>
      </c>
      <c r="I16" s="209">
        <f t="shared" si="6"/>
        <v>14.362249454541251</v>
      </c>
      <c r="K16" s="35">
        <f t="shared" si="7"/>
        <v>76</v>
      </c>
      <c r="L16" s="35">
        <f t="shared" si="12"/>
        <v>606</v>
      </c>
      <c r="M16" s="35">
        <f t="shared" si="9"/>
        <v>7272</v>
      </c>
      <c r="N16" s="63">
        <f t="shared" si="10"/>
        <v>55281.43252992231</v>
      </c>
      <c r="O16" s="64">
        <f t="shared" si="2"/>
        <v>663377.1903590678</v>
      </c>
      <c r="P16" s="209">
        <f t="shared" si="8"/>
        <v>91.22348602297411</v>
      </c>
    </row>
    <row r="17" spans="1:18" ns3:dyDescent="0.2">
      <c r="A17" s="217">
        <v>13</v>
      </c>
      <c r="B17" s="209">
        <f t="shared" si="3"/>
        <v>35</v>
      </c>
      <c r="C17" s="209">
        <f t="shared" si="4"/>
        <v>3222</v>
      </c>
      <c r="D17" s="216">
        <f t="shared" si="13"/>
        <v>48357.550290945845</v>
      </c>
      <c r="E17" s="209">
        <f>Hoja5!I49</f>
        <v>115815</v>
      </c>
      <c r="F17" s="216">
        <f t="shared" si="14"/>
        <v>1738215.297003691</v>
      </c>
      <c r="G17" s="220">
        <f t="shared" si="5"/>
        <v>75000</v>
      </c>
      <c r="H17" s="216">
        <f t="shared" si="15"/>
        <v>1125641.3009996705</v>
      </c>
      <c r="I17" s="209">
        <f>I16*1.045</f>
        <v>15.008550679995606</v>
      </c>
      <c r="K17" s="35">
        <f t="shared" si="7"/>
        <v>77</v>
      </c>
      <c r="L17" s="35">
        <f t="shared" si="12"/>
        <v>606</v>
      </c>
      <c r="M17" s="35">
        <f t="shared" si="9"/>
        <v>7272</v>
      </c>
      <c r="N17" s="63">
        <f t="shared" si="10"/>
        <v>57769.09699376881</v>
      </c>
      <c r="O17" s="64">
        <f t="shared" si="2"/>
        <v>693229.1639252257</v>
      </c>
      <c r="P17" s="209">
        <f t="shared" si="8"/>
        <v>95.32854289400794</v>
      </c>
    </row>
    <row r="18" spans="1:18" ns3:dyDescent="0.2">
      <c r="A18" s="217">
        <v>14</v>
      </c>
      <c r="B18" s="209">
        <f t="shared" si="3"/>
        <v>36</v>
      </c>
      <c r="C18" s="209">
        <f t="shared" si="4"/>
        <v>3222</v>
      </c>
      <c r="D18" s="216">
        <f t="shared" si="13"/>
        <v>50533.6400540384</v>
      </c>
      <c r="E18" s="209">
        <f>Hoja5!I50</f>
        <v>134118</v>
      </c>
      <c r="F18" s="216">
        <f t="shared" si="14"/>
        <v>2103498.056104135</v>
      </c>
      <c r="G18" s="220">
        <f t="shared" si="5"/>
        <v>75000</v>
      </c>
      <c r="H18" s="216">
        <f t="shared" si="15"/>
        <v>1176295.1595446556</v>
      </c>
      <c r="I18" s="209">
        <f t="shared" si="6"/>
        <v>15.683935460595407</v>
      </c>
      <c r="K18" s="35">
        <f t="shared" si="7"/>
        <v>78</v>
      </c>
      <c r="L18" s="35">
        <f t="shared" si="12"/>
        <v>606</v>
      </c>
      <c r="M18" s="35">
        <f t="shared" si="9"/>
        <v>7272</v>
      </c>
      <c r="N18" s="63">
        <f t="shared" si="10"/>
        <v>60368.70635848841</v>
      </c>
      <c r="O18" s="64">
        <f t="shared" si="2"/>
        <v>724424.4763018609</v>
      </c>
      <c r="P18" s="209">
        <f t="shared" si="8"/>
        <v>99.6183273242383</v>
      </c>
    </row>
    <row r="19" spans="1:18" ns3:dyDescent="0.2">
      <c r="A19" s="218">
        <v>15</v>
      </c>
      <c r="B19" s="209">
        <f t="shared" si="3"/>
        <v>37</v>
      </c>
      <c r="C19" s="209">
        <f t="shared" si="4"/>
        <v>3222</v>
      </c>
      <c r="D19" s="216">
        <f t="shared" si="13"/>
        <v>52807.653856470126</v>
      </c>
      <c r="E19" s="209">
        <f>Hoja5!I51</f>
        <v>154044</v>
      </c>
      <c r="F19" s="216">
        <f t="shared" si="14"/>
        <v>2524736.8810260966</v>
      </c>
      <c r="G19" s="220">
        <f t="shared" si="5"/>
        <v>75000</v>
      </c>
      <c r="H19" s="216">
        <f t="shared" si="15"/>
        <v>1229228.4417241649</v>
      </c>
      <c r="I19" s="209">
        <f>I18*1.045</f>
        <v>16.3897125563222</v>
      </c>
      <c r="K19" s="35">
        <f t="shared" si="7"/>
        <v>79</v>
      </c>
      <c r="L19" s="35">
        <f t="shared" si="12"/>
        <v>606</v>
      </c>
      <c r="M19" s="35">
        <f t="shared" si="9"/>
        <v>7272</v>
      </c>
      <c r="N19" s="63">
        <f t="shared" si="10"/>
        <v>63085.29814462038</v>
      </c>
      <c r="O19" s="64">
        <f t="shared" si="2"/>
        <v>757023.5777354445</v>
      </c>
      <c r="P19" s="209">
        <f t="shared" si="8"/>
        <v>104.10115205382901</v>
      </c>
    </row>
    <row r="20" spans="1:18" ns3:dyDescent="0.2">
      <c r="A20" s="217">
        <v>16</v>
      </c>
      <c r="B20" s="209">
        <f t="shared" si="3"/>
        <v>38</v>
      </c>
      <c r="C20" s="209"/>
      <c r="D20" s="216">
        <f t="shared" si="13"/>
        <v>0</v>
      </c>
      <c r="E20" s="209">
        <f>Hoja5!I52</f>
        <v>160647</v>
      </c>
      <c r="F20" s="216">
        <f t="shared" si="14"/>
        <v>2751441.2699220893</v>
      </c>
      <c r="G20" s="220">
        <f t="shared" si="5"/>
        <v>75000</v>
      </c>
      <c r="H20" s="216">
        <f t="shared" si="15"/>
        <v>1284543.7216017523</v>
      </c>
      <c r="I20" s="209">
        <f t="shared" si="6"/>
        <v>17.127249621356697</v>
      </c>
      <c r="K20" s="57">
        <f t="shared" si="7"/>
        <v>80</v>
      </c>
      <c r="L20" s="35">
        <f t="shared" si="12"/>
        <v>606</v>
      </c>
      <c r="M20" s="57">
        <f t="shared" si="9"/>
        <v>7272</v>
      </c>
      <c r="N20" s="63">
        <f>L20*P20</f>
        <v>65924.1365611283</v>
      </c>
      <c r="O20" s="64">
        <f>M20*P20</f>
        <v>791089.6387335395</v>
      </c>
      <c r="P20" s="209">
        <f t="shared" si="8"/>
        <v>108.7857038962513</v>
      </c>
      <c r="Q20" s="60">
        <f>SUM(M5:M20)</f>
        <v>116352</v>
      </c>
      <c r="R20" s="58">
        <f>SUM(O5:O20)</f>
        <v>9287032.987527423</v>
      </c>
    </row>
    <row r="21" spans="1:18" ns3:dyDescent="0.2">
      <c r="A21" s="217">
        <v>17</v>
      </c>
      <c r="B21" s="209">
        <f t="shared" si="3"/>
        <v>39</v>
      </c>
      <c r="C21" s="209"/>
      <c r="D21" s="216">
        <f t="shared" ref="D21:D26" si="16">C21*I21</f>
        <v>0</v>
      </c>
      <c r="E21" s="209">
        <f>Hoja5!I53</f>
        <v>167433</v>
      </c>
      <c r="F21" s="216">
        <f t="shared" ref="F21:F26" si="17">E21*I21</f>
        <v>2996711.791215983</v>
      </c>
      <c r="G21" s="220">
        <f t="shared" si="5"/>
        <v>75000</v>
      </c>
      <c r="H21" s="216">
        <f t="shared" ref="H21:H26" si="18">G21*I21</f>
        <v>1342348.1890738308</v>
      </c>
      <c r="I21" s="209">
        <f t="shared" si="6"/>
        <v>17.897975854317746</v>
      </c>
      <c r="K21" s="35">
        <f t="shared" si="7"/>
        <v>81</v>
      </c>
      <c r="L21" s="35">
        <f t="shared" si="12"/>
        <v>606</v>
      </c>
      <c r="M21" s="35">
        <f t="shared" si="9"/>
        <v>7272</v>
      </c>
      <c r="N21" s="63">
        <f t="shared" si="10"/>
        <v>68890.72270637906</v>
      </c>
      <c r="O21" s="64">
        <f t="shared" si="2"/>
        <v>826688.6724765487</v>
      </c>
      <c r="P21" s="209">
        <f t="shared" si="8"/>
        <v>113.6810605715826</v>
      </c>
    </row>
    <row r="22" spans="1:18" ns3:dyDescent="0.2">
      <c r="A22" s="217">
        <v>18</v>
      </c>
      <c r="B22" s="209">
        <f t="shared" si="3"/>
        <v>40</v>
      </c>
      <c r="C22" s="209"/>
      <c r="D22" s="216">
        <f t="shared" si="16"/>
        <v>0</v>
      </c>
      <c r="E22" s="209">
        <f>Hoja5!I54</f>
        <v>174405</v>
      </c>
      <c r="F22" s="216">
        <f t="shared" si="17"/>
        <v>3261963.820421539</v>
      </c>
      <c r="G22" s="220">
        <f t="shared" si="5"/>
        <v>75000</v>
      </c>
      <c r="H22" s="216">
        <f t="shared" si="18"/>
        <v>1402753.857582153</v>
      </c>
      <c r="I22" s="209">
        <f t="shared" si="6"/>
        <v>18.703384767762042</v>
      </c>
      <c r="K22" s="35">
        <f t="shared" si="7"/>
        <v>82</v>
      </c>
      <c r="L22" s="35">
        <f t="shared" si="12"/>
        <v>606</v>
      </c>
      <c r="M22" s="35">
        <f t="shared" si="9"/>
        <v>7272</v>
      </c>
      <c r="N22" s="63">
        <f t="shared" si="10"/>
        <v>71990.80522816611</v>
      </c>
      <c r="O22" s="64">
        <f t="shared" si="2"/>
        <v>863889.6627379933</v>
      </c>
      <c r="P22" s="209">
        <f t="shared" si="8"/>
        <v>118.79670829730381</v>
      </c>
    </row>
    <row r="23" spans="1:18" ns3:dyDescent="0.2">
      <c r="A23" s="217">
        <v>19</v>
      </c>
      <c r="B23" s="209">
        <f t="shared" si="3"/>
        <v>41</v>
      </c>
      <c r="C23" s="209"/>
      <c r="D23" s="216">
        <f t="shared" si="16"/>
        <v>0</v>
      </c>
      <c r="E23" s="209">
        <f>Hoja5!I55</f>
        <v>181572</v>
      </c>
      <c r="F23" s="216">
        <f t="shared" si="17"/>
        <v>3548831.473109433</v>
      </c>
      <c r="G23" s="220">
        <f t="shared" si="5"/>
        <v>75000</v>
      </c>
      <c r="H23" s="216">
        <f t="shared" si="18"/>
        <v>1465877.7811733498</v>
      </c>
      <c r="I23" s="209">
        <f t="shared" si="6"/>
        <v>19.54503708231133</v>
      </c>
      <c r="K23" s="35">
        <f t="shared" si="7"/>
        <v>83</v>
      </c>
      <c r="L23" s="35">
        <f t="shared" si="12"/>
        <v>606</v>
      </c>
      <c r="M23" s="35">
        <f t="shared" si="9"/>
        <v>7272</v>
      </c>
      <c r="N23" s="63">
        <f t="shared" si="10"/>
        <v>75230.39146343358</v>
      </c>
      <c r="O23" s="64">
        <f t="shared" si="2"/>
        <v>902764.6975612029</v>
      </c>
      <c r="P23" s="209">
        <f t="shared" si="8"/>
        <v>124.14256017068247</v>
      </c>
    </row>
    <row r="24" spans="1:18" ns3:dyDescent="0.2">
      <c r="A24" s="217">
        <v>20</v>
      </c>
      <c r="B24" s="209">
        <f t="shared" si="3"/>
        <v>42</v>
      </c>
      <c r="C24" s="209"/>
      <c r="D24" s="216">
        <f t="shared" si="16"/>
        <v>0</v>
      </c>
      <c r="E24" s="209">
        <f>Hoja5!I56</f>
        <v>188949</v>
      </c>
      <c r="F24" s="216">
        <f t="shared" si="17"/>
        <v>3859200.8961905977</v>
      </c>
      <c r="G24" s="220">
        <f t="shared" si="5"/>
        <v>75000</v>
      </c>
      <c r="H24" s="216">
        <f t="shared" si="18"/>
        <v>1531842.2813261505</v>
      </c>
      <c r="I24" s="209">
        <f t="shared" si="6"/>
        <v>20.42456375101534</v>
      </c>
      <c r="K24" s="35">
        <f t="shared" si="7"/>
        <v>84</v>
      </c>
      <c r="L24" s="35">
        <f t="shared" si="12"/>
        <v>606</v>
      </c>
      <c r="M24" s="35">
        <f t="shared" si="9"/>
        <v>7272</v>
      </c>
      <c r="N24" s="63">
        <f t="shared" si="10"/>
        <v>78615.75907928808</v>
      </c>
      <c r="O24" s="64">
        <f t="shared" si="2"/>
        <v>943389.108951457</v>
      </c>
      <c r="P24" s="209">
        <f t="shared" si="8"/>
        <v>129.72897537836317</v>
      </c>
    </row>
    <row r="25" spans="1:18" ns3:dyDescent="0.2">
      <c r="A25" s="217">
        <v>21</v>
      </c>
      <c r="B25" s="209">
        <f t="shared" si="3"/>
        <v>43</v>
      </c>
      <c r="C25" s="209"/>
      <c r="D25" s="216">
        <f t="shared" si="16"/>
        <v>0</v>
      </c>
      <c r="E25" s="209">
        <f>Hoja5!I57</f>
        <v>196542</v>
      </c>
      <c r="F25" s="216">
        <f t="shared" si="17"/>
        <v>4194927.416145899</v>
      </c>
      <c r="G25" s="220">
        <f t="shared" si="5"/>
        <v>75000</v>
      </c>
      <c r="H25" s="216">
        <f t="shared" si="18"/>
        <v>1600775.1839858273</v>
      </c>
      <c r="I25" s="209">
        <f t="shared" si="6"/>
        <v>21.34366911981103</v>
      </c>
      <c r="K25" s="57">
        <f t="shared" si="7"/>
        <v>85</v>
      </c>
      <c r="L25" s="35">
        <f t="shared" si="12"/>
        <v>606</v>
      </c>
      <c r="M25" s="57">
        <f t="shared" si="9"/>
        <v>7272</v>
      </c>
      <c r="N25" s="63">
        <f t="shared" si="10"/>
        <v>82153.46823785604</v>
      </c>
      <c r="O25" s="64">
        <f t="shared" si="2"/>
        <v>985841.6188542724</v>
      </c>
      <c r="P25" s="209">
        <f t="shared" si="8"/>
        <v>135.5667792703895</v>
      </c>
      <c r="R25" s="58">
        <f>SUM(O5:O25)</f>
        <v>13809606.748108895</v>
      </c>
    </row>
    <row r="26" spans="1:18" ns3:dyDescent="0.2">
      <c r="A26" s="217">
        <v>22</v>
      </c>
      <c r="B26" s="209">
        <f t="shared" si="3"/>
        <v>44</v>
      </c>
      <c r="C26" s="209"/>
      <c r="D26" s="216">
        <f t="shared" si="16"/>
        <v>0</v>
      </c>
      <c r="E26" s="209">
        <f>Hoja5!I58</f>
        <v>204366</v>
      </c>
      <c r="F26" s="216">
        <f t="shared" si="17"/>
        <v>4558206.6960895695</v>
      </c>
      <c r="G26" s="220">
        <f t="shared" si="5"/>
        <v>75000</v>
      </c>
      <c r="H26" s="216">
        <f t="shared" si="18"/>
        <v>1672810.0672651895</v>
      </c>
      <c r="I26" s="209">
        <f t="shared" si="6"/>
        <v>22.304134230202525</v>
      </c>
      <c r="K26" s="35">
        <f t="shared" si="7"/>
        <v>86</v>
      </c>
      <c r="L26" s="35">
        <f t="shared" si="12"/>
        <v>606</v>
      </c>
      <c r="M26" s="35">
        <f t="shared" si="9"/>
        <v>7272</v>
      </c>
      <c r="N26" s="63">
        <f t="shared" si="10"/>
        <v>85850.37430855955</v>
      </c>
      <c r="O26" s="64">
        <f t="shared" si="2"/>
        <v>1030204.4917027147</v>
      </c>
      <c r="P26" s="209">
        <f t="shared" si="8"/>
        <v>141.66728433755702</v>
      </c>
    </row>
    <row r="27" spans="1:18" ns3:dyDescent="0.2">
      <c r="A27" s="217">
        <v>23</v>
      </c>
      <c r="B27" s="209">
        <f t="shared" si="3"/>
        <v>45</v>
      </c>
      <c r="C27" s="209"/>
      <c r="D27" s="216">
        <f t="shared" ref="D27:D30" si="19">C27*I27</f>
        <v>0</v>
      </c>
      <c r="E27" s="209">
        <f>Hoja5!I59</f>
        <v>212442</v>
      </c>
      <c r="F27" s="216">
        <f t="shared" ref="F27:F30" si="20">E27*I27</f>
        <v>4951559.953918655</v>
      </c>
      <c r="G27" s="220">
        <f t="shared" si="5"/>
        <v>75000</v>
      </c>
      <c r="H27" s="216">
        <f t="shared" ref="H27:H30" si="21">G27*I27</f>
        <v>1748086.5202921228</v>
      </c>
      <c r="I27" s="209">
        <f t="shared" si="6"/>
        <v>23.30782027056164</v>
      </c>
      <c r="K27" s="35">
        <f t="shared" si="7"/>
        <v>87</v>
      </c>
      <c r="L27" s="35">
        <f t="shared" si="12"/>
        <v>606</v>
      </c>
      <c r="M27" s="35">
        <f t="shared" si="9"/>
        <v>7272</v>
      </c>
      <c r="N27" s="63">
        <f t="shared" si="10"/>
        <v>89713.64115244473</v>
      </c>
      <c r="O27" s="64">
        <f t="shared" si="2"/>
        <v>1076563.6938293367</v>
      </c>
      <c r="P27" s="209">
        <f t="shared" si="8"/>
        <v>148.04231213274707</v>
      </c>
    </row>
    <row r="28" spans="1:18" ns3:dyDescent="0.2">
      <c r="A28" s="217">
        <v>24</v>
      </c>
      <c r="B28" s="209">
        <f t="shared" si="3"/>
        <v>46</v>
      </c>
      <c r="C28" s="209"/>
      <c r="D28" s="216">
        <f t="shared" si="19"/>
        <v>0</v>
      </c>
      <c r="E28" s="209">
        <f>Hoja5!I60</f>
        <v>220779</v>
      </c>
      <c r="F28" s="216">
        <f t="shared" si="20"/>
        <v>5377441.727832473</v>
      </c>
      <c r="G28" s="220">
        <f t="shared" si="5"/>
        <v>75000</v>
      </c>
      <c r="H28" s="216">
        <f t="shared" si="21"/>
        <v>1826750.4137052684</v>
      </c>
      <c r="I28" s="209">
        <f t="shared" si="6"/>
        <v>24.35667218273691</v>
      </c>
      <c r="K28" s="35">
        <f t="shared" si="7"/>
        <v>88</v>
      </c>
      <c r="L28" s="35">
        <f t="shared" si="12"/>
        <v>606</v>
      </c>
      <c r="M28" s="35">
        <f t="shared" si="9"/>
        <v>7272</v>
      </c>
      <c r="N28" s="63">
        <f t="shared" si="10"/>
        <v>93750.75500430474</v>
      </c>
      <c r="O28" s="64">
        <f t="shared" si="2"/>
        <v>1125009.0600516568</v>
      </c>
      <c r="P28" s="209">
        <f t="shared" si="8"/>
        <v>154.70421617872069</v>
      </c>
    </row>
    <row r="29" spans="1:18" ns3:dyDescent="0.2">
      <c r="A29" s="217">
        <v>25</v>
      </c>
      <c r="B29" s="209">
        <f t="shared" si="3"/>
        <v>47</v>
      </c>
      <c r="C29" s="209"/>
      <c r="D29" s="216">
        <f t="shared" si="19"/>
        <v>0</v>
      </c>
      <c r="E29" s="209">
        <f>Hoja5!I61</f>
        <v>229398</v>
      </c>
      <c r="F29" s="216">
        <f t="shared" si="20"/>
        <v>5838803.620217378</v>
      </c>
      <c r="G29" s="220">
        <f t="shared" si="5"/>
        <v>75000</v>
      </c>
      <c r="H29" s="216">
        <f t="shared" si="21"/>
        <v>1908954.1823220053</v>
      </c>
      <c r="I29" s="209">
        <f t="shared" si="6"/>
        <v>25.45272243096007</v>
      </c>
      <c r="K29" s="35">
        <f t="shared" si="7"/>
        <v>89</v>
      </c>
      <c r="L29" s="35">
        <f t="shared" si="12"/>
        <v>606</v>
      </c>
      <c r="M29" s="35">
        <f t="shared" si="9"/>
        <v>7272</v>
      </c>
      <c r="N29" s="63">
        <f t="shared" si="10"/>
        <v>97969.53897949844</v>
      </c>
      <c r="O29" s="64">
        <f t="shared" si="2"/>
        <v>1175634.4677539812</v>
      </c>
      <c r="P29" s="209">
        <f t="shared" si="8"/>
        <v>161.6659059067631</v>
      </c>
    </row>
    <row r="30" spans="1:18" ns3:dyDescent="0.2">
      <c r="A30" s="217">
        <v>26</v>
      </c>
      <c r="B30" s="209">
        <f t="shared" si="3"/>
        <v>48</v>
      </c>
      <c r="C30" s="209"/>
      <c r="D30" s="216">
        <f t="shared" si="19"/>
        <v>0</v>
      </c>
      <c r="E30" s="209">
        <f>Hoja5!I62</f>
        <v>238326</v>
      </c>
      <c r="F30" s="216">
        <f t="shared" si="20"/>
        <v>6339017.574754634</v>
      </c>
      <c r="G30" s="220">
        <f t="shared" si="5"/>
        <v>75000</v>
      </c>
      <c r="H30" s="216">
        <f t="shared" si="21"/>
        <v>1994857.1205264954</v>
      </c>
      <c r="I30" s="209">
        <f t="shared" si="6"/>
        <v>26.59809494035327</v>
      </c>
      <c r="K30" s="57">
        <f t="shared" si="7"/>
        <v>90</v>
      </c>
      <c r="L30" s="35">
        <f t="shared" si="12"/>
        <v>606</v>
      </c>
      <c r="M30" s="57">
        <f t="shared" si="9"/>
        <v>7272</v>
      </c>
      <c r="N30" s="63">
        <f t="shared" si="10"/>
        <v>102378.16823357587</v>
      </c>
      <c r="O30" s="64">
        <f t="shared" si="2"/>
        <v>1228538.0188029103</v>
      </c>
      <c r="P30" s="209">
        <f t="shared" si="8"/>
        <v>168.94087167256743</v>
      </c>
      <c r="R30" s="58">
        <f>SUM(O5:O30)</f>
        <v>19445556.480249494</v>
      </c>
    </row>
    <row r="31" spans="1:18" ns3:dyDescent="0.2">
      <c r="A31" s="217">
        <v>27</v>
      </c>
      <c r="B31" s="209">
        <f t="shared" si="3"/>
        <v>49</v>
      </c>
      <c r="C31" s="209"/>
      <c r="D31" s="216">
        <v>0</v>
      </c>
      <c r="E31" s="209"/>
      <c r="F31" s="216">
        <v>0</v>
      </c>
      <c r="G31" s="220"/>
      <c r="H31" s="216">
        <v>0</v>
      </c>
      <c r="I31" s="209">
        <f>I30*1.045</f>
        <v>27.795009212669164</v>
      </c>
      <c r="K31" s="35">
        <f t="shared" si="7"/>
        <v>91</v>
      </c>
      <c r="L31" s="35">
        <f t="shared" si="12"/>
        <v>606</v>
      </c>
      <c r="M31" s="35">
        <f t="shared" si="9"/>
        <v>7272</v>
      </c>
      <c r="N31" s="63">
        <f t="shared" si="10"/>
        <v>106985.18580408677</v>
      </c>
      <c r="O31" s="64">
        <f t="shared" si="2"/>
        <v>1283822.2296490413</v>
      </c>
      <c r="P31" s="209">
        <f t="shared" si="8"/>
        <v>176.54321089783295</v>
      </c>
    </row>
    <row r="32" spans="1:18" ns3:dyDescent="0.2">
      <c r="A32" s="217">
        <v>28</v>
      </c>
      <c r="B32" s="209">
        <f t="shared" si="3"/>
        <v>50</v>
      </c>
      <c r="C32" s="209"/>
      <c r="D32" s="216">
        <v>0</v>
      </c>
      <c r="E32" s="209"/>
      <c r="F32" s="216">
        <v>0</v>
      </c>
      <c r="G32" s="220"/>
      <c r="H32" s="216">
        <v>0</v>
      </c>
      <c r="I32" s="209">
        <f>I31*1.045</f>
        <v>29.045784627239275</v>
      </c>
      <c r="K32" s="35">
        <f t="shared" si="7"/>
        <v>92</v>
      </c>
      <c r="L32" s="35">
        <f t="shared" si="12"/>
        <v>606</v>
      </c>
      <c r="M32" s="35">
        <f t="shared" si="9"/>
        <v>7272</v>
      </c>
      <c r="N32" s="63">
        <f t="shared" si="10"/>
        <v>111799.51916527067</v>
      </c>
      <c r="O32" s="64">
        <f t="shared" si="2"/>
        <v>1341594.229983248</v>
      </c>
      <c r="P32" s="209">
        <f t="shared" si="8"/>
        <v>184.48765538823542</v>
      </c>
    </row>
    <row r="33" spans="1:16" ns3:dyDescent="0.2">
      <c r="A33" s="217">
        <v>29</v>
      </c>
      <c r="B33" s="209">
        <f t="shared" si="3"/>
        <v>51</v>
      </c>
      <c r="C33" s="209"/>
      <c r="D33" s="216">
        <v>0</v>
      </c>
      <c r="E33" s="209"/>
      <c r="F33" s="216">
        <v>0</v>
      </c>
      <c r="G33" s="220"/>
      <c r="H33" s="216">
        <v>0</v>
      </c>
      <c r="I33" s="209">
        <f t="shared" si="6"/>
        <v>30.35284493546504</v>
      </c>
      <c r="K33" s="35">
        <f t="shared" si="7"/>
        <v>93</v>
      </c>
      <c r="L33" s="35">
        <f t="shared" si="12"/>
        <v>606</v>
      </c>
      <c r="M33" s="35">
        <f t="shared" si="9"/>
        <v>7272</v>
      </c>
      <c r="N33" s="63">
        <f t="shared" si="10"/>
        <v>116830.49752770783</v>
      </c>
      <c r="O33" s="64">
        <f t="shared" si="2"/>
        <v>1401965.970332494</v>
      </c>
      <c r="P33" s="209">
        <f t="shared" si="8"/>
        <v>192.789599880706</v>
      </c>
    </row>
    <row r="34" spans="1:16" ns3:dyDescent="0.2">
      <c r="A34" s="217">
        <v>30</v>
      </c>
      <c r="B34" s="209">
        <f t="shared" si="3"/>
        <v>52</v>
      </c>
      <c r="C34" s="209"/>
      <c r="D34" s="216">
        <v>0</v>
      </c>
      <c r="E34" s="209"/>
      <c r="F34" s="216">
        <v>0</v>
      </c>
      <c r="G34" s="220"/>
      <c r="H34" s="216">
        <v>0</v>
      </c>
      <c r="I34" s="209">
        <f t="shared" si="6"/>
        <v>31.718722957560963</v>
      </c>
      <c r="K34" s="35">
        <f t="shared" si="7"/>
        <v>94</v>
      </c>
      <c r="L34" s="35">
        <f t="shared" si="12"/>
        <v>606</v>
      </c>
      <c r="M34" s="35">
        <f t="shared" si="9"/>
        <v>7272</v>
      </c>
      <c r="N34" s="63">
        <f t="shared" si="10"/>
        <v>122087.86991645469</v>
      </c>
      <c r="O34" s="64">
        <f t="shared" si="2"/>
        <v>1465054.438997456</v>
      </c>
      <c r="P34" s="209">
        <f t="shared" si="8"/>
        <v>201.46513187533776</v>
      </c>
    </row>
    <row r="35" spans="1:16" ns3:dyDescent="0.2">
      <c r="A35" s="217">
        <v>31</v>
      </c>
      <c r="B35" s="209">
        <f t="shared" si="3"/>
        <v>53</v>
      </c>
      <c r="C35" s="209"/>
      <c r="D35" s="216">
        <v>0</v>
      </c>
      <c r="E35" s="209"/>
      <c r="F35" s="216">
        <v>0</v>
      </c>
      <c r="G35" s="220"/>
      <c r="H35" s="216">
        <v>0</v>
      </c>
      <c r="I35" s="209">
        <f t="shared" si="6"/>
        <v>33.1460654906512</v>
      </c>
      <c r="K35" s="35">
        <f t="shared" si="7"/>
        <v>95</v>
      </c>
      <c r="L35" s="35">
        <f t="shared" si="12"/>
        <v>606</v>
      </c>
      <c r="M35" s="35">
        <f t="shared" ref="M35:M43" si="22">L35*12</f>
        <v>7272</v>
      </c>
      <c r="N35" s="63">
        <f t="shared" ref="N35:N43" si="23">L35*P35</f>
        <v>127581.82406269514</v>
      </c>
      <c r="O35" s="64">
        <f t="shared" ref="O35:O43" si="24">M35*P35</f>
        <v>1530981.8887523417</v>
      </c>
      <c r="P35" s="209">
        <f t="shared" si="8"/>
        <v>210.53106280972796</v>
      </c>
    </row>
    <row r="36" spans="1:16" ns3:dyDescent="0.2">
      <c r="A36" s="217">
        <v>32</v>
      </c>
      <c r="B36" s="209">
        <f t="shared" si="3"/>
        <v>54</v>
      </c>
      <c r="C36" s="209"/>
      <c r="D36" s="216">
        <v>0</v>
      </c>
      <c r="E36" s="209"/>
      <c r="F36" s="216">
        <v>0</v>
      </c>
      <c r="G36" s="220"/>
      <c r="H36" s="216">
        <v>0</v>
      </c>
      <c r="I36" s="209">
        <f t="shared" si="6"/>
        <v>34.63763843773051</v>
      </c>
      <c r="K36" s="35">
        <f t="shared" si="7"/>
        <v>96</v>
      </c>
      <c r="L36" s="35">
        <f t="shared" si="12"/>
        <v>606</v>
      </c>
      <c r="M36" s="35">
        <f t="shared" si="22"/>
        <v>7272</v>
      </c>
      <c r="N36" s="63">
        <f t="shared" si="23"/>
        <v>133323.0061455164</v>
      </c>
      <c r="O36" s="64">
        <f t="shared" si="24"/>
        <v>1599876.073746197</v>
      </c>
      <c r="P36" s="209">
        <f t="shared" si="8"/>
        <v>220.0049606361657</v>
      </c>
    </row>
    <row r="37" spans="1:16" ns3:dyDescent="0.2">
      <c r="A37" s="217">
        <v>33</v>
      </c>
      <c r="B37" s="209">
        <f t="shared" si="3"/>
        <v>55</v>
      </c>
      <c r="C37" s="209"/>
      <c r="D37" s="216">
        <v>0</v>
      </c>
      <c r="E37" s="209"/>
      <c r="F37" s="216">
        <v>0</v>
      </c>
      <c r="G37" s="220"/>
      <c r="H37" s="216">
        <v>0</v>
      </c>
      <c r="I37" s="209">
        <f t="shared" si="6"/>
        <v>36.19633216742838</v>
      </c>
      <c r="K37" s="35">
        <f t="shared" si="7"/>
        <v>97</v>
      </c>
      <c r="L37" s="35">
        <f t="shared" si="12"/>
        <v>606</v>
      </c>
      <c r="M37" s="35">
        <f t="shared" si="22"/>
        <v>7272</v>
      </c>
      <c r="N37" s="63">
        <f t="shared" si="23"/>
        <v>139322.54142206465</v>
      </c>
      <c r="O37" s="64">
        <f t="shared" si="24"/>
        <v>1671870.4970647758</v>
      </c>
      <c r="P37" s="209">
        <f t="shared" si="8"/>
        <v>229.90518386479314</v>
      </c>
    </row>
    <row r="38" spans="1:16" ns3:dyDescent="0.2">
      <c r="A38" s="217">
        <v>34</v>
      </c>
      <c r="B38" s="209">
        <f t="shared" si="3"/>
        <v>56</v>
      </c>
      <c r="C38" s="209"/>
      <c r="D38" s="216">
        <v>0</v>
      </c>
      <c r="E38" s="209"/>
      <c r="F38" s="216">
        <v>0</v>
      </c>
      <c r="G38" s="220"/>
      <c r="H38" s="216">
        <v>0</v>
      </c>
      <c r="I38" s="209">
        <f t="shared" si="6"/>
        <v>37.82516711496265</v>
      </c>
      <c r="K38" s="35">
        <f t="shared" si="7"/>
        <v>98</v>
      </c>
      <c r="L38" s="35">
        <f t="shared" si="12"/>
        <v>606</v>
      </c>
      <c r="M38" s="35">
        <f t="shared" si="22"/>
        <v>7272</v>
      </c>
      <c r="N38" s="63">
        <f t="shared" si="23"/>
        <v>145592.05578605755</v>
      </c>
      <c r="O38" s="64">
        <f t="shared" si="24"/>
        <v>1747104.6694326906</v>
      </c>
      <c r="P38" s="209">
        <f t="shared" si="8"/>
        <v>240.25091713870881</v>
      </c>
    </row>
    <row r="39" spans="1:16" ns3:dyDescent="0.2">
      <c r="A39" s="217">
        <v>35</v>
      </c>
      <c r="B39" s="209">
        <f t="shared" si="3"/>
        <v>57</v>
      </c>
      <c r="C39" s="209"/>
      <c r="D39" s="216">
        <v>0</v>
      </c>
      <c r="E39" s="209"/>
      <c r="F39" s="216">
        <v>0</v>
      </c>
      <c r="G39" s="220"/>
      <c r="H39" s="216">
        <v>0</v>
      </c>
      <c r="I39" s="209">
        <f t="shared" si="6"/>
        <v>39.52729963513597</v>
      </c>
      <c r="K39" s="35">
        <f t="shared" si="7"/>
        <v>99</v>
      </c>
      <c r="L39" s="35">
        <f t="shared" si="12"/>
        <v>606</v>
      </c>
      <c r="M39" s="35">
        <f t="shared" si="22"/>
        <v>7272</v>
      </c>
      <c r="N39" s="63">
        <f t="shared" si="23"/>
        <v>152143.6982964301</v>
      </c>
      <c r="O39" s="64">
        <f t="shared" si="24"/>
        <v>1825724.3795571616</v>
      </c>
      <c r="P39" s="209">
        <f t="shared" si="8"/>
        <v>251.0622084099507</v>
      </c>
    </row>
    <row r="40" spans="1:16" ns3:dyDescent="0.2">
      <c r="A40" s="217">
        <v>36</v>
      </c>
      <c r="B40" s="209">
        <f t="shared" si="3"/>
        <v>58</v>
      </c>
      <c r="C40" s="209"/>
      <c r="D40" s="216">
        <v>0</v>
      </c>
      <c r="E40" s="209"/>
      <c r="F40" s="216">
        <v>0</v>
      </c>
      <c r="G40" s="220"/>
      <c r="H40" s="216">
        <v>0</v>
      </c>
      <c r="I40" s="209">
        <f t="shared" si="6"/>
        <v>41.30602811871709</v>
      </c>
      <c r="K40" s="35">
        <f t="shared" si="7"/>
        <v>100</v>
      </c>
      <c r="L40" s="35">
        <f t="shared" si="12"/>
        <v>606</v>
      </c>
      <c r="M40" s="35">
        <f t="shared" si="22"/>
        <v>7272</v>
      </c>
      <c r="N40" s="63">
        <f t="shared" si="23"/>
        <v>158990.1647197695</v>
      </c>
      <c r="O40" s="64">
        <f t="shared" si="24"/>
        <v>1907881.9766372337</v>
      </c>
      <c r="P40" s="209">
        <f t="shared" si="8"/>
        <v>262.3600077883985</v>
      </c>
    </row>
    <row r="41" spans="1:16" ns3:dyDescent="0.2">
      <c r="A41" s="217">
        <v>37</v>
      </c>
      <c r="B41" s="209">
        <f t="shared" si="3"/>
        <v>59</v>
      </c>
      <c r="C41" s="209"/>
      <c r="D41" s="216">
        <v>0</v>
      </c>
      <c r="E41" s="209"/>
      <c r="F41" s="216">
        <v>0</v>
      </c>
      <c r="G41" s="220"/>
      <c r="H41" s="216">
        <v>0</v>
      </c>
      <c r="I41" s="209">
        <f t="shared" si="6"/>
        <v>43.16479938405935</v>
      </c>
      <c r="K41" s="35">
        <f t="shared" si="7"/>
        <v>101</v>
      </c>
      <c r="L41" s="35">
        <f t="shared" si="12"/>
        <v>606</v>
      </c>
      <c r="M41" s="35">
        <f t="shared" si="22"/>
        <v>7272</v>
      </c>
      <c r="N41" s="63">
        <f t="shared" si="23"/>
        <v>166144.7221321591</v>
      </c>
      <c r="O41" s="64">
        <f t="shared" si="24"/>
        <v>1993736.6655859093</v>
      </c>
      <c r="P41" s="209">
        <f t="shared" si="8"/>
        <v>274.1662081388764</v>
      </c>
    </row>
    <row r="42" spans="1:16" ns3:dyDescent="0.2">
      <c r="A42" s="217">
        <v>38</v>
      </c>
      <c r="B42" s="209">
        <f t="shared" si="3"/>
        <v>60</v>
      </c>
      <c r="C42" s="209"/>
      <c r="D42" s="216">
        <v>0</v>
      </c>
      <c r="E42" s="209"/>
      <c r="F42" s="216">
        <v>0</v>
      </c>
      <c r="G42" s="220"/>
      <c r="H42" s="216">
        <v>0</v>
      </c>
      <c r="I42" s="209">
        <f t="shared" si="6"/>
        <v>45.10721535634202</v>
      </c>
      <c r="K42" s="35">
        <f t="shared" si="7"/>
        <v>102</v>
      </c>
      <c r="L42" s="35">
        <f t="shared" si="12"/>
        <v>606</v>
      </c>
      <c r="M42" s="35">
        <f t="shared" si="22"/>
        <v>7272</v>
      </c>
      <c r="N42" s="63">
        <f t="shared" si="23"/>
        <v>173621.23462810623</v>
      </c>
      <c r="O42" s="64">
        <f t="shared" si="24"/>
        <v>2083454.8155372748</v>
      </c>
      <c r="P42" s="209">
        <f t="shared" si="8"/>
        <v>286.5036875051258</v>
      </c>
    </row>
    <row r="43" spans="1:16" ns3:dyDescent="0.2">
      <c r="A43" s="217">
        <v>39</v>
      </c>
      <c r="B43" s="209">
        <f t="shared" si="3"/>
        <v>61</v>
      </c>
      <c r="C43" s="209"/>
      <c r="D43" s="216">
        <v>0</v>
      </c>
      <c r="E43" s="209"/>
      <c r="F43" s="216">
        <v>0</v>
      </c>
      <c r="G43" s="220"/>
      <c r="H43" s="216">
        <v>0</v>
      </c>
      <c r="I43" s="209">
        <f t="shared" si="6"/>
        <v>47.137040047377404</v>
      </c>
      <c r="K43" s="35">
        <f t="shared" si="7"/>
        <v>103</v>
      </c>
      <c r="L43" s="35">
        <f t="shared" si="12"/>
        <v>606</v>
      </c>
      <c r="M43" s="35">
        <f t="shared" si="22"/>
        <v>7272</v>
      </c>
      <c r="N43" s="63">
        <f t="shared" si="23"/>
        <v>181434.19018637104</v>
      </c>
      <c r="O43" s="64">
        <f t="shared" si="24"/>
        <v>2177210.282236452</v>
      </c>
      <c r="P43" s="209">
        <f t="shared" si="8"/>
        <v>299.3963534428565</v>
      </c>
    </row>
    <row r="44" spans="1:16" ns3:dyDescent="0.2">
      <c r="B44" s="209">
        <f t="shared" si="3"/>
        <v>62</v>
      </c>
      <c r="C44" s="209"/>
      <c r="D44" s="216">
        <v>0</v>
      </c>
      <c r="E44" s="209"/>
      <c r="F44" s="216">
        <v>0</v>
      </c>
      <c r="G44" s="220"/>
      <c r="H44" s="216">
        <v>0</v>
      </c>
      <c r="I44" s="209">
        <f t="shared" si="6"/>
        <v>49.258206849509385</v>
      </c>
      <c r="K44" s="35"/>
      <c r="L44" s="35"/>
      <c r="M44" s="35">
        <v>0</v>
      </c>
      <c r="N44" s="63">
        <v>0</v>
      </c>
      <c r="O44" s="64">
        <v>0</v>
      </c>
      <c r="P44" s="209">
        <f t="shared" si="8"/>
        <v>312.869189347785</v>
      </c>
    </row>
    <row r="45" spans="1:16" ns3:dyDescent="0.2">
      <c r="B45" s="209">
        <f t="shared" si="3"/>
        <v>63</v>
      </c>
      <c r="C45" s="209"/>
      <c r="D45" s="216">
        <v>0</v>
      </c>
      <c r="E45" s="209"/>
      <c r="F45" s="216">
        <v>0</v>
      </c>
      <c r="G45" s="220"/>
      <c r="H45" s="216">
        <v>0</v>
      </c>
      <c r="I45" s="209">
        <f t="shared" si="6"/>
        <v>51.474826157737304</v>
      </c>
      <c r="K45" s="35"/>
      <c r="L45" s="35"/>
      <c r="M45" s="35">
        <v>0</v>
      </c>
      <c r="N45" s="63">
        <v>0</v>
      </c>
      <c r="O45" s="64">
        <v>0</v>
      </c>
      <c r="P45" s="209">
        <f t="shared" si="8"/>
        <v>326.9483028684353</v>
      </c>
    </row>
    <row r="46" spans="1:16" ns3:dyDescent="0.2">
      <c r="B46" s="209">
        <f t="shared" si="3"/>
        <v>64</v>
      </c>
      <c r="C46" s="209"/>
      <c r="D46" s="216">
        <v>0</v>
      </c>
      <c r="E46" s="209"/>
      <c r="F46" s="216">
        <v>0</v>
      </c>
      <c r="G46" s="220"/>
      <c r="H46" s="216">
        <v>0</v>
      </c>
      <c r="I46" s="209">
        <f t="shared" si="6"/>
        <v>53.79119333483548</v>
      </c>
      <c r="K46" s="35"/>
      <c r="L46" s="35"/>
      <c r="M46" s="35">
        <v>0</v>
      </c>
      <c r="N46" s="63">
        <v>0</v>
      </c>
      <c r="O46" s="64">
        <v>0</v>
      </c>
      <c r="P46" s="209">
        <f t="shared" si="8"/>
        <v>341.66097649751487</v>
      </c>
    </row>
    <row r="47" spans="1:16" ns3:dyDescent="0.2">
      <c r="B47" s="209">
        <f t="shared" si="3"/>
        <v>65</v>
      </c>
      <c r="C47" s="209"/>
      <c r="D47" s="216">
        <v>0</v>
      </c>
      <c r="E47" s="209"/>
      <c r="F47" s="216">
        <v>0</v>
      </c>
      <c r="G47" s="220"/>
      <c r="H47" s="216">
        <v>0</v>
      </c>
      <c r="I47" s="209">
        <f t="shared" si="6"/>
        <v>56.21179703490307</v>
      </c>
      <c r="K47" s="35"/>
      <c r="L47" s="35"/>
      <c r="M47" s="35">
        <v>0</v>
      </c>
      <c r="N47" s="63">
        <v>0</v>
      </c>
      <c r="O47" s="64">
        <v>0</v>
      </c>
      <c r="P47" s="209">
        <f t="shared" si="8"/>
        <v>357.035720439903</v>
      </c>
    </row>
    <row r="48" spans="1:16" ns3:dyDescent="0.2">
      <c r="B48" s="209">
        <f t="shared" si="3"/>
        <v>66</v>
      </c>
      <c r="C48" s="209"/>
      <c r="D48" s="216">
        <v>0</v>
      </c>
      <c r="E48" s="209"/>
      <c r="F48" s="216">
        <v>0</v>
      </c>
      <c r="G48" s="220"/>
      <c r="H48" s="216">
        <v>0</v>
      </c>
      <c r="I48" s="209">
        <f t="shared" si="6"/>
        <v>58.7413279014737</v>
      </c>
      <c r="K48" s="35"/>
      <c r="L48" s="35"/>
      <c r="M48" s="35">
        <v>0</v>
      </c>
      <c r="N48" s="63">
        <v>0</v>
      </c>
      <c r="O48" s="64">
        <v>0</v>
      </c>
      <c r="P48" s="209">
        <f t="shared" si="8"/>
        <v>373.1023278596986</v>
      </c>
    </row>
    <row r="49" spans="1:16" ns3:dyDescent="0.2">
      <c r="B49" s="209">
        <f t="shared" si="3"/>
        <v>67</v>
      </c>
      <c r="C49" s="209"/>
      <c r="D49" s="216">
        <v>0</v>
      </c>
      <c r="E49" s="209"/>
      <c r="F49" s="216">
        <v>0</v>
      </c>
      <c r="G49" s="220"/>
      <c r="H49" s="216">
        <v>0</v>
      </c>
      <c r="I49" s="209">
        <f t="shared" si="6"/>
        <v>61.38468765704002</v>
      </c>
      <c r="K49" s="35"/>
      <c r="L49" s="35"/>
      <c r="M49" s="35">
        <v>0</v>
      </c>
      <c r="N49" s="63">
        <v>0</v>
      </c>
      <c r="O49" s="64">
        <v>0</v>
      </c>
      <c r="P49" s="209">
        <f t="shared" si="8"/>
        <v>389.89193261338505</v>
      </c>
    </row>
    <row r="50" spans="1:16" ns3:dyDescent="0.2">
      <c r="B50" s="209">
        <f t="shared" si="3"/>
        <v>68</v>
      </c>
      <c r="C50" s="209"/>
      <c r="D50" s="216">
        <v>0</v>
      </c>
      <c r="E50" s="209"/>
      <c r="F50" s="216">
        <v>0</v>
      </c>
      <c r="G50" s="220"/>
      <c r="H50" s="216">
        <v>0</v>
      </c>
      <c r="I50" s="209">
        <f t="shared" si="6"/>
        <v>64.14699860160681</v>
      </c>
      <c r="K50" s="35"/>
      <c r="L50" s="35"/>
      <c r="M50" s="35">
        <v>0</v>
      </c>
      <c r="N50" s="63">
        <v>0</v>
      </c>
      <c r="O50" s="64">
        <v>0</v>
      </c>
      <c r="P50" s="209">
        <f t="shared" si="8"/>
        <v>407.4370695809873</v>
      </c>
    </row>
    <row r="51" spans="1:16" ns3:dyDescent="0.2">
      <c r="B51" s="209">
        <f t="shared" si="3"/>
        <v>69</v>
      </c>
      <c r="C51" s="209"/>
      <c r="D51" s="216">
        <v>0</v>
      </c>
      <c r="E51" s="209"/>
      <c r="F51" s="216">
        <v>0</v>
      </c>
      <c r="G51" s="220"/>
      <c r="H51" s="216">
        <v>0</v>
      </c>
      <c r="I51" s="209">
        <f t="shared" si="6"/>
        <v>67.0336135386791</v>
      </c>
      <c r="K51" s="35"/>
      <c r="L51" s="35"/>
      <c r="M51" s="35">
        <v>0</v>
      </c>
      <c r="N51" s="63">
        <v>0</v>
      </c>
      <c r="O51" s="64">
        <v>0</v>
      </c>
      <c r="P51" s="209">
        <f t="shared" si="8"/>
        <v>425.7717377121317</v>
      </c>
    </row>
    <row r="52" spans="1:16" ns3:dyDescent="0.2">
      <c r="A52" s="217">
        <v>40</v>
      </c>
      <c r="B52" s="209">
        <f t="shared" si="3"/>
        <v>70</v>
      </c>
      <c r="C52" s="209"/>
      <c r="D52" s="216">
        <v>0</v>
      </c>
      <c r="E52" s="209"/>
      <c r="F52" s="216">
        <v>0</v>
      </c>
      <c r="G52" s="220"/>
      <c r="H52" s="216">
        <v>0</v>
      </c>
      <c r="I52" s="209">
        <f t="shared" si="6"/>
        <v>70.05012614791966</v>
      </c>
      <c r="K52" s="35"/>
      <c r="L52" s="35"/>
      <c r="M52" s="35">
        <v>0</v>
      </c>
      <c r="N52" s="63">
        <v>0</v>
      </c>
      <c r="O52" s="64">
        <v>0</v>
      </c>
      <c r="P52" s="209">
        <f t="shared" si="8"/>
        <v>444.93146590917763</v>
      </c>
    </row>
    <row r="53" spans="1:16" ns3:dyDescent="0.2">
      <c r="B53" s="209">
        <f t="shared" si="3"/>
        <v>71</v>
      </c>
      <c r="C53" s="209"/>
      <c r="D53" s="216">
        <v>0</v>
      </c>
      <c r="E53" s="209"/>
      <c r="F53" s="216">
        <v>0</v>
      </c>
      <c r="G53" s="220"/>
      <c r="H53" s="216">
        <v>0</v>
      </c>
      <c r="I53" s="209">
        <f t="shared" si="6"/>
        <v>73.20238182457604</v>
      </c>
      <c r="K53" s="35"/>
      <c r="L53" s="35"/>
      <c r="M53" s="35">
        <v>0</v>
      </c>
      <c r="N53" s="63">
        <v>0</v>
      </c>
      <c r="O53" s="64">
        <v>0</v>
      </c>
      <c r="P53" s="209">
        <f t="shared" si="8"/>
        <v>464.9533818750906</v>
      </c>
    </row>
    <row r="54" spans="1:16" ns3:dyDescent="0.2">
      <c r="B54" s="209">
        <f t="shared" si="3"/>
        <v>72</v>
      </c>
      <c r="C54" s="209"/>
      <c r="D54" s="216">
        <v>0</v>
      </c>
      <c r="E54" s="209"/>
      <c r="F54" s="216">
        <v>0</v>
      </c>
      <c r="G54" s="220"/>
      <c r="H54" s="216">
        <v>0</v>
      </c>
      <c r="I54" s="209">
        <f t="shared" si="6"/>
        <v>76.49648900668195</v>
      </c>
      <c r="K54" s="35"/>
      <c r="L54" s="35"/>
      <c r="M54" s="35">
        <v>0</v>
      </c>
      <c r="N54" s="63">
        <v>0</v>
      </c>
      <c r="O54" s="64">
        <v>0</v>
      </c>
      <c r="P54" s="209">
        <f t="shared" si="8"/>
        <v>485.87628405946964</v>
      </c>
    </row>
    <row r="55" spans="1:16" ns3:dyDescent="0.2">
      <c r="B55" s="209">
        <f t="shared" si="3"/>
        <v>73</v>
      </c>
      <c r="C55" s="209"/>
      <c r="D55" s="216">
        <v>0</v>
      </c>
      <c r="E55" s="209"/>
      <c r="F55" s="216">
        <v>0</v>
      </c>
      <c r="G55" s="220"/>
      <c r="H55" s="216">
        <v>0</v>
      </c>
      <c r="I55" s="209">
        <f t="shared" si="6"/>
        <v>79.93883101198264</v>
      </c>
      <c r="K55" s="35"/>
      <c r="L55" s="35"/>
      <c r="M55" s="35">
        <v>0</v>
      </c>
      <c r="N55" s="63">
        <v>0</v>
      </c>
      <c r="O55" s="64">
        <v>0</v>
      </c>
      <c r="P55" s="209">
        <f t="shared" si="8"/>
        <v>507.74071684214573</v>
      </c>
    </row>
    <row r="56" spans="1:16" ns3:dyDescent="0.2">
      <c r="A56" s="217">
        <v>36</v>
      </c>
      <c r="B56" s="209">
        <f t="shared" si="3"/>
        <v>74</v>
      </c>
      <c r="C56" s="209"/>
      <c r="D56" s="216">
        <v>0</v>
      </c>
      <c r="E56" s="209"/>
      <c r="F56" s="216">
        <v>0</v>
      </c>
      <c r="G56" s="220"/>
      <c r="H56" s="216">
        <v>0</v>
      </c>
      <c r="I56" s="209">
        <f t="shared" si="6"/>
        <v>83.53607840752186</v>
      </c>
      <c r="K56" s="35"/>
      <c r="L56" s="35"/>
      <c r="M56" s="35">
        <v>0</v>
      </c>
      <c r="N56" s="63">
        <v>0</v>
      </c>
      <c r="O56" s="64">
        <v>0</v>
      </c>
      <c r="P56" s="209">
        <f t="shared" si="8"/>
        <v>530.5890491000423</v>
      </c>
    </row>
    <row r="57" spans="1:16" ns3:dyDescent="0.2">
      <c r="B57" s="209">
        <f t="shared" si="3"/>
        <v>75</v>
      </c>
      <c r="C57" s="209"/>
      <c r="D57" s="216">
        <v>0</v>
      </c>
      <c r="E57" s="209"/>
      <c r="F57" s="216">
        <v>0</v>
      </c>
      <c r="G57" s="220"/>
      <c r="H57" s="216">
        <v>0</v>
      </c>
      <c r="I57" s="209">
        <f t="shared" si="6"/>
        <v>87.29520193586033</v>
      </c>
      <c r="K57" s="35"/>
      <c r="L57" s="35"/>
      <c r="M57" s="35">
        <v>0</v>
      </c>
      <c r="N57" s="63">
        <v>0</v>
      </c>
      <c r="O57" s="64">
        <v>0</v>
      </c>
      <c r="P57" s="209">
        <f t="shared" si="8"/>
        <v>554.4655563095441</v>
      </c>
    </row>
    <row r="58" spans="1:16" ns3:dyDescent="0.2">
      <c r="B58" s="209">
        <f t="shared" si="3"/>
        <v>76</v>
      </c>
      <c r="C58" s="209"/>
      <c r="D58" s="216">
        <v>0</v>
      </c>
      <c r="E58" s="209"/>
      <c r="F58" s="216">
        <v>0</v>
      </c>
      <c r="G58" s="220"/>
      <c r="H58" s="216">
        <v>0</v>
      </c>
      <c r="I58" s="209">
        <f t="shared" si="6"/>
        <v>91.22348602297404</v>
      </c>
      <c r="K58" s="35"/>
      <c r="L58" s="35"/>
      <c r="M58" s="35">
        <v>0</v>
      </c>
      <c r="N58" s="63">
        <v>0</v>
      </c>
      <c r="O58" s="64">
        <v>0</v>
      </c>
      <c r="P58" s="209">
        <f t="shared" si="8"/>
        <v>579.4165063434735</v>
      </c>
    </row>
    <row r="59" spans="1:16" ns3:dyDescent="0.2">
      <c r="A59" s="217">
        <v>37</v>
      </c>
      <c r="B59" s="209">
        <f t="shared" si="3"/>
        <v>77</v>
      </c>
      <c r="C59" s="209"/>
      <c r="D59" s="216">
        <v>0</v>
      </c>
      <c r="E59" s="209"/>
      <c r="F59" s="216">
        <v>0</v>
      </c>
      <c r="G59" s="220"/>
      <c r="H59" s="216">
        <v>0</v>
      </c>
      <c r="I59" s="209">
        <f t="shared" si="6"/>
        <v>95.32854289400787</v>
      </c>
      <c r="K59" s="35">
        <f>K34+1</f>
        <v>95</v>
      </c>
      <c r="L59" s="35">
        <f>L34</f>
        <v>606</v>
      </c>
      <c r="M59" s="35">
        <f t="shared" si="9"/>
        <v>7272</v>
      </c>
      <c r="N59" s="63">
        <f t="shared" si="10"/>
        <v>366927.09097213147</v>
      </c>
      <c r="O59" s="64">
        <f t="shared" si="2"/>
        <v>4403125.091665577</v>
      </c>
      <c r="P59" s="209">
        <f t="shared" si="8"/>
        <v>605.4902491289298</v>
      </c>
    </row>
    <row r="60" spans="1:16" ns3:dyDescent="0.2">
      <c r="A60" s="217">
        <v>38</v>
      </c>
      <c r="B60" s="209">
        <f t="shared" si="3"/>
        <v>78</v>
      </c>
      <c r="C60" s="209"/>
      <c r="D60" s="216">
        <v>0</v>
      </c>
      <c r="E60" s="209"/>
      <c r="F60" s="216">
        <v>0</v>
      </c>
      <c r="G60" s="220"/>
      <c r="H60" s="216">
        <v>0</v>
      </c>
      <c r="I60" s="209">
        <f t="shared" si="6"/>
        <v>99.61832732423821</v>
      </c>
      <c r="K60" s="35">
        <f t="shared" si="7"/>
        <v>96</v>
      </c>
      <c r="L60" s="35">
        <f t="shared" si="12"/>
        <v>606</v>
      </c>
      <c r="M60" s="35">
        <f t="shared" si="9"/>
        <v>7272</v>
      </c>
      <c r="N60" s="63">
        <f t="shared" si="10"/>
        <v>383438.81006587733</v>
      </c>
      <c r="O60" s="64">
        <f t="shared" si="2"/>
        <v>4601265.720790529</v>
      </c>
      <c r="P60" s="209">
        <f t="shared" si="8"/>
        <v>632.7373103397316</v>
      </c>
    </row>
    <row r="61" spans="1:16" ns3:dyDescent="0.2">
      <c r="B61" s="60"/>
    </row>
    <row r="62" spans="1:16" ns3:dyDescent="0.2">
      <c r="C62" s="58">
        <f>SUM(C5:C61)</f>
        <v>48330</v>
      </c>
      <c r="D62" s="58">
        <f>SUM(D5:D61)</f>
        <v>592651.0728891407</v>
      </c>
      <c r="F62" s="58">
        <f>F60</f>
        <v>0</v>
      </c>
    </row>
    <row r="64" spans="1:16" ns3:dyDescent="0.2">
      <c r="B64" s="103" t="s">
        <v>25</v>
      </c>
      <c r="C64" s="103"/>
      <c r="D64" s="103"/>
      <c r="E64" s="104">
        <f>H5</f>
        <v>663750</v>
      </c>
      <c r="F64" s="105"/>
    </row>
    <row r="65" spans="2:6" ns3:dyDescent="0.2">
      <c r="B65" s="103"/>
      <c r="C65" s="103"/>
      <c r="D65" s="103"/>
      <c r="E65" s="105"/>
      <c r="F65" s="105"/>
    </row>
    <row r="66" spans="2:6" ns3:dyDescent="0.2">
      <c r="B66" s="106" t="s">
        <v>26</v>
      </c>
      <c r="C66" s="106"/>
      <c r="D66" s="106"/>
      <c r="E66" s="107">
        <f>H5</f>
        <v>663750</v>
      </c>
      <c r="F66" s="108"/>
    </row>
    <row r="67" spans="2:6" ns3:dyDescent="0.2">
      <c r="B67" s="106"/>
      <c r="C67" s="106"/>
      <c r="D67" s="106"/>
      <c r="E67" s="108"/>
      <c r="F67" s="108"/>
    </row>
    <row r="68" spans="2:6" ht="17.25" customHeight="1" ns3:dyDescent="0.2">
      <c r="B68" s="102" t="s">
        <v>27</v>
      </c>
      <c r="C68" s="102"/>
      <c r="D68" s="102"/>
      <c r="E68" s="102"/>
      <c r="F68" s="102"/>
    </row>
    <row r="69" spans="2:6" ht="17.25" customHeight="1" ns3:dyDescent="0.2">
      <c r="B69" s="102"/>
      <c r="C69" s="102"/>
      <c r="D69" s="102"/>
      <c r="E69" s="102"/>
      <c r="F69" s="102"/>
    </row>
    <row r="70" spans="2:6" ns3:dyDescent="0.2">
      <c r="B70" s="36"/>
      <c r="C70" s="36"/>
      <c r="D70" s="36"/>
      <c r="E70" s="36"/>
      <c r="F70" s="36"/>
    </row>
  </sheetData>
  <mergeCells count="14">
    <mergeCell ref="R3:R4"/>
    <mergeCell ref="K3:K4"/>
    <mergeCell ref="M3:O3"/>
    <mergeCell ref="P3:P4"/>
    <mergeCell ref="B68:F69"/>
    <mergeCell ref="G3:H3"/>
    <mergeCell ref="I3:I4"/>
    <mergeCell ref="B64:D65"/>
    <mergeCell ref="E64:F65"/>
    <mergeCell ref="B66:D67"/>
    <mergeCell ref="E66:F67"/>
    <mergeCell ref="B3:B4"/>
    <mergeCell ref="C3:D3"/>
    <mergeCell ref="E3:F3"/>
  </mergeCells>
  <pageMargins left="0.7" right="0.7" top="0.75" bottom="0.75" header="0.3" footer="0.3"/>
  <pageSetup orientation="portrait" ns4:id="rId1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53AD4AA5-7917-EE48-B4B3-BEC06F45C5A6}">
  <dimension ref="A1"/>
  <sheetViews>
    <sheetView workbookViewId="0"/>
  </sheetViews>
  <sheetFormatPr defaultColWidth="10.89453125" defaultRowHeight="15" ns3:dyDescent="0.2"/>
  <sheetData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400-000000000000}">
  <dimension ref="A1:P69"/>
  <sheetViews>
    <sheetView zoomScale="82" workbookViewId="0">
      <selection activeCell="C5" sqref="C5"/>
    </sheetView>
  </sheetViews>
  <sheetFormatPr defaultColWidth="11.43359375" defaultRowHeight="13.5" ns3:dyDescent="0.15"/>
  <cols>
    <col min="1" max="1" width="11.43359375" style="2"/>
    <col min="2" max="2" width="14.52734375" style="2" customWidth="1"/>
    <col min="3" max="3" width="21.1171875" style="2" bestFit="1" customWidth="1"/>
    <col min="4" max="4" width="14.796875" style="2" bestFit="1" customWidth="1"/>
    <col min="5" max="5" width="11.43359375" style="2"/>
    <col min="6" max="6" width="14.52734375" style="2" customWidth="1"/>
    <col min="7" max="7" width="11.43359375" style="2"/>
    <col min="8" max="8" width="15.46875" style="2" bestFit="1" customWidth="1"/>
    <col min="9" max="9" width="11.43359375" style="2"/>
    <col min="10" max="10" width="13.85546875" style="65" bestFit="1" customWidth="1"/>
    <col min="11" max="11" width="13.98828125" style="67" hidden="1" customWidth="1"/>
    <col min="12" max="12" width="0" style="2" hidden="1" customWidth="1"/>
    <col min="13" max="13" width="16.0078125" style="2" customWidth="1"/>
    <col min="14" max="16384" width="11.43359375" style="2"/>
  </cols>
  <sheetData>
    <row r="1" spans="1:15" ht="14.25" thickBot="1" ns3:dyDescent="0.2"/>
    <row r="2" spans="1:15" ht="18" ns3:dyDescent="0.15">
      <c r="B2" s="203" t="s">
        <v>28</v>
      </c>
      <c r="C2" s="205" t="s">
        <v>1</v>
      </c>
      <c r="D2" s="205"/>
      <c r="E2" s="206" t="s">
        <v>11</v>
      </c>
      <c r="F2" s="206"/>
      <c r="G2" s="205" t="s">
        <v>6</v>
      </c>
      <c r="H2" s="205"/>
      <c r="I2" s="207" t="s">
        <v>2</v>
      </c>
      <c r="J2" s="195" t="s">
        <v>9</v>
      </c>
      <c r="K2" s="197" t="s">
        <v>44</v>
      </c>
    </row>
    <row r="3" spans="1:15" ht="18.75" thickBot="1" ns3:dyDescent="0.2">
      <c r="B3" s="204"/>
      <c r="C3" s="34" t="s">
        <v>3</v>
      </c>
      <c r="D3" s="34" t="s">
        <v>4</v>
      </c>
      <c r="E3" s="40" t="s">
        <v>3</v>
      </c>
      <c r="F3" s="40" t="s">
        <v>4</v>
      </c>
      <c r="G3" s="34" t="s">
        <v>3</v>
      </c>
      <c r="H3" s="34" t="s">
        <v>4</v>
      </c>
      <c r="I3" s="208"/>
      <c r="J3" s="196"/>
      <c r="K3" s="198"/>
    </row>
    <row r="4" spans="1:15" ht="14.25" thickBot="1" ns3:dyDescent="0.2">
      <c r="A4" s="2">
        <v>1</v>
      </c>
      <c r="B4" s="26">
        <v>31</v>
      </c>
      <c r="C4" s="6">
        <v>9575</v>
      </c>
      <c r="D4" s="7">
        <f>C4*I4</f>
        <v>80717.25</v>
      </c>
      <c r="E4" s="37">
        <v>90000</v>
      </c>
      <c r="F4" s="37" t="s">
        <v>13</v>
      </c>
      <c r="G4" s="6">
        <v>60000</v>
      </c>
      <c r="H4" s="7">
        <f>G4*I4</f>
        <v>505800</v>
      </c>
      <c r="I4" s="38">
        <v>8.43</v>
      </c>
      <c r="J4" s="2">
        <v>1179</v>
      </c>
      <c r="K4" s="81"/>
      <c r="M4" s="83">
        <f t="shared" ref="M4:M7" si="0">J4*I4</f>
        <v>9938.9699999999993</v>
      </c>
      <c r="N4" s="71"/>
      <c r="O4" s="2">
        <f>N4*I4</f>
        <v>0</v>
      </c>
    </row>
    <row r="5" spans="1:15" ht="14.25" thickBot="1" ns3:dyDescent="0.2">
      <c r="A5" s="2">
        <v>2</v>
      </c>
      <c r="B5" s="28">
        <f>B4+1</f>
        <v>32</v>
      </c>
      <c r="C5" s="6">
        <f>C4</f>
        <v>9575</v>
      </c>
      <c r="D5" s="11">
        <f t="shared" ref="D5:D8" si="1">C5*I5</f>
        <v>84349.526249999981</v>
      </c>
      <c r="E5" s="15">
        <f>E4</f>
        <v>90000</v>
      </c>
      <c r="F5" s="15" t="s">
        <v>13</v>
      </c>
      <c r="G5" s="10">
        <f>G4</f>
        <v>60000</v>
      </c>
      <c r="H5" s="11">
        <f t="shared" ref="H5:H12" si="2">G5*I5</f>
        <v>528560.99999999988</v>
      </c>
      <c r="I5" s="39">
        <f>I4*1.045</f>
        <v>8.8093499999999985</v>
      </c>
      <c r="J5" s="2">
        <v>2377</v>
      </c>
      <c r="K5" s="81"/>
      <c r="M5" s="83">
        <f t="shared" si="0"/>
        <v>20939.824949999995</v>
      </c>
      <c r="N5" s="68"/>
      <c r="O5" s="2">
        <f t="shared" ref="O5" si="3">N5*I5</f>
        <v>0</v>
      </c>
    </row>
    <row r="6" spans="1:15" ht="14.25" thickBot="1" ns3:dyDescent="0.2">
      <c r="A6" s="2">
        <v>3</v>
      </c>
      <c r="B6" s="28">
        <f t="shared" ref="B6:B49" si="4">B5+1</f>
        <v>33</v>
      </c>
      <c r="C6" s="6">
        <f t="shared" ref="C6:C23" si="5">C5</f>
        <v>9575</v>
      </c>
      <c r="D6" s="11">
        <f t="shared" si="1"/>
        <v>88145.254931249976</v>
      </c>
      <c r="E6" s="10">
        <v>3333</v>
      </c>
      <c r="F6" s="11">
        <f>E6*I6</f>
        <v>30682.833909749992</v>
      </c>
      <c r="G6" s="10">
        <f t="shared" ref="G6:G49" si="6">G5</f>
        <v>60000</v>
      </c>
      <c r="H6" s="11">
        <f t="shared" si="2"/>
        <v>552346.24499999988</v>
      </c>
      <c r="I6" s="39">
        <f t="shared" ref="I6:I49" si="7">I5*1.045</f>
        <v>9.2057707499999974</v>
      </c>
      <c r="J6" s="2">
        <v>3594</v>
      </c>
      <c r="K6" s="81"/>
      <c r="M6" s="83">
        <f t="shared" si="0"/>
        <v>33085.540075499994</v>
      </c>
      <c r="N6" s="68"/>
      <c r="O6" s="20">
        <f>I6*N6</f>
        <v>0</v>
      </c>
    </row>
    <row r="7" spans="1:15" ht="14.25" thickBot="1" ns3:dyDescent="0.2">
      <c r="A7" s="2">
        <v>4</v>
      </c>
      <c r="B7" s="28">
        <f t="shared" si="4"/>
        <v>34</v>
      </c>
      <c r="C7" s="6">
        <f t="shared" si="5"/>
        <v>9575</v>
      </c>
      <c r="D7" s="11">
        <f t="shared" si="1"/>
        <v>92111.791403156225</v>
      </c>
      <c r="E7" s="10">
        <v>5299</v>
      </c>
      <c r="F7" s="11">
        <f t="shared" ref="F7:F12" si="8">E7*I7</f>
        <v>50976.541268441237</v>
      </c>
      <c r="G7" s="10">
        <f t="shared" si="6"/>
        <v>60000</v>
      </c>
      <c r="H7" s="11">
        <f t="shared" si="2"/>
        <v>577201.82602499984</v>
      </c>
      <c r="I7" s="39">
        <f t="shared" si="7"/>
        <v>9.6200304337499976</v>
      </c>
      <c r="J7" s="68">
        <v>22524</v>
      </c>
      <c r="K7" s="81"/>
      <c r="M7" s="83">
        <f t="shared" si="0"/>
        <v>216681.56548978493</v>
      </c>
      <c r="N7" s="68"/>
      <c r="O7" s="2">
        <f t="shared" ref="O7:O14" si="9">N6*I7</f>
        <v>0</v>
      </c>
    </row>
    <row r="8" spans="1:15" ht="14.25" thickBot="1" ns3:dyDescent="0.2">
      <c r="A8" s="2">
        <v>5</v>
      </c>
      <c r="B8" s="28">
        <f t="shared" si="4"/>
        <v>35</v>
      </c>
      <c r="C8" s="6">
        <f t="shared" si="5"/>
        <v>9575</v>
      </c>
      <c r="D8" s="11">
        <f t="shared" si="1"/>
        <v>96256.822016298247</v>
      </c>
      <c r="E8" s="10">
        <v>7381</v>
      </c>
      <c r="F8" s="11">
        <f t="shared" si="8"/>
        <v>74200.689639926626</v>
      </c>
      <c r="G8" s="10">
        <f t="shared" si="6"/>
        <v>60000</v>
      </c>
      <c r="H8" s="11">
        <f t="shared" si="2"/>
        <v>603175.90819612483</v>
      </c>
      <c r="I8" s="39">
        <f t="shared" si="7"/>
        <v>10.052931803268747</v>
      </c>
      <c r="J8" s="68">
        <v>26978</v>
      </c>
      <c r="K8" s="81">
        <f>J8*I8</f>
        <v>271207.99418858427</v>
      </c>
      <c r="M8" s="83">
        <f>J8*I8</f>
        <v>271207.99418858427</v>
      </c>
      <c r="N8" s="68"/>
      <c r="O8" s="2">
        <f t="shared" si="9"/>
        <v>0</v>
      </c>
    </row>
    <row r="9" spans="1:15" ht="14.25" thickBot="1" ns3:dyDescent="0.2">
      <c r="A9" s="2">
        <v>6</v>
      </c>
      <c r="B9" s="28">
        <f t="shared" si="4"/>
        <v>36</v>
      </c>
      <c r="C9" s="6">
        <f t="shared" si="5"/>
        <v>9575</v>
      </c>
      <c r="D9" s="11">
        <f t="shared" ref="D9:D13" si="10">C9*I9</f>
        <v>100588.37900703166</v>
      </c>
      <c r="E9" s="10">
        <v>7382</v>
      </c>
      <c r="F9" s="11">
        <f t="shared" si="8"/>
        <v>77550.225987457728</v>
      </c>
      <c r="G9" s="10">
        <f t="shared" si="6"/>
        <v>60000</v>
      </c>
      <c r="H9" s="11">
        <f t="shared" si="2"/>
        <v>630318.82406495034</v>
      </c>
      <c r="I9" s="39">
        <f t="shared" si="7"/>
        <v>10.505313734415839</v>
      </c>
      <c r="J9" s="82">
        <v>7359</v>
      </c>
      <c r="K9" s="81"/>
      <c r="M9" s="83">
        <f t="shared" ref="M9:M13" si="11">J9*I9</f>
        <v>77308.603771566166</v>
      </c>
      <c r="N9" s="68"/>
      <c r="O9" s="2">
        <f t="shared" si="9"/>
        <v>0</v>
      </c>
    </row>
    <row r="10" spans="1:15" ht="14.25" thickBot="1" ns3:dyDescent="0.2">
      <c r="A10" s="2">
        <v>7</v>
      </c>
      <c r="B10" s="28">
        <f t="shared" si="4"/>
        <v>37</v>
      </c>
      <c r="C10" s="6">
        <f t="shared" si="5"/>
        <v>9575</v>
      </c>
      <c r="D10" s="11">
        <f t="shared" si="10"/>
        <v>105114.85606234809</v>
      </c>
      <c r="E10" s="10">
        <v>7383</v>
      </c>
      <c r="F10" s="11">
        <f t="shared" si="8"/>
        <v>81050.964209745784</v>
      </c>
      <c r="G10" s="10">
        <f t="shared" si="6"/>
        <v>60000</v>
      </c>
      <c r="H10" s="11">
        <f t="shared" si="2"/>
        <v>658683.17114787316</v>
      </c>
      <c r="I10" s="39">
        <f t="shared" si="7"/>
        <v>10.978052852464552</v>
      </c>
      <c r="J10" s="82">
        <v>8654</v>
      </c>
      <c r="K10" s="81"/>
      <c r="M10" s="83">
        <f t="shared" si="11"/>
        <v>95004.069385228242</v>
      </c>
      <c r="N10" s="68"/>
      <c r="O10" s="2">
        <f t="shared" si="9"/>
        <v>0</v>
      </c>
    </row>
    <row r="11" spans="1:15" ht="14.25" thickBot="1" ns3:dyDescent="0.2">
      <c r="A11" s="2">
        <v>8</v>
      </c>
      <c r="B11" s="28">
        <f t="shared" si="4"/>
        <v>38</v>
      </c>
      <c r="C11" s="6">
        <f t="shared" si="5"/>
        <v>9575</v>
      </c>
      <c r="D11" s="11">
        <f t="shared" si="10"/>
        <v>109845.02458515375</v>
      </c>
      <c r="E11" s="10">
        <v>7384</v>
      </c>
      <c r="F11" s="11">
        <f t="shared" si="8"/>
        <v>84709.729664415179</v>
      </c>
      <c r="G11" s="10">
        <f t="shared" si="6"/>
        <v>60000</v>
      </c>
      <c r="H11" s="11">
        <f t="shared" si="2"/>
        <v>688323.91384952748</v>
      </c>
      <c r="I11" s="39">
        <f t="shared" si="7"/>
        <v>11.472065230825457</v>
      </c>
      <c r="J11" s="82">
        <v>9969</v>
      </c>
      <c r="K11" s="81"/>
      <c r="M11" s="83">
        <f t="shared" si="11"/>
        <v>114365.01828609899</v>
      </c>
      <c r="N11" s="68"/>
      <c r="O11" s="2">
        <f t="shared" si="9"/>
        <v>0</v>
      </c>
    </row>
    <row r="12" spans="1:15" ht="14.25" thickBot="1" ns3:dyDescent="0.2">
      <c r="A12" s="2">
        <v>9</v>
      </c>
      <c r="B12" s="28">
        <f t="shared" si="4"/>
        <v>39</v>
      </c>
      <c r="C12" s="6">
        <f t="shared" si="5"/>
        <v>9575</v>
      </c>
      <c r="D12" s="11">
        <f t="shared" si="10"/>
        <v>114788.05069148567</v>
      </c>
      <c r="E12" s="10">
        <v>7385</v>
      </c>
      <c r="F12" s="11">
        <f t="shared" si="8"/>
        <v>88533.655807480071</v>
      </c>
      <c r="G12" s="10">
        <f t="shared" si="6"/>
        <v>60000</v>
      </c>
      <c r="H12" s="11">
        <f t="shared" si="2"/>
        <v>719298.48997275613</v>
      </c>
      <c r="I12" s="39">
        <f t="shared" si="7"/>
        <v>11.988308166212603</v>
      </c>
      <c r="J12" s="82">
        <v>11305</v>
      </c>
      <c r="K12" s="81"/>
      <c r="M12" s="83">
        <f t="shared" si="11"/>
        <v>135527.82381903348</v>
      </c>
      <c r="N12" s="68"/>
      <c r="O12" s="2">
        <f t="shared" si="9"/>
        <v>0</v>
      </c>
    </row>
    <row r="13" spans="1:15" ht="14.25" thickBot="1" ns3:dyDescent="0.2">
      <c r="A13" s="2">
        <v>10</v>
      </c>
      <c r="B13" s="28">
        <f t="shared" si="4"/>
        <v>40</v>
      </c>
      <c r="C13" s="6">
        <f t="shared" si="5"/>
        <v>9575</v>
      </c>
      <c r="D13" s="11">
        <f t="shared" si="10"/>
        <v>119953.51297260252</v>
      </c>
      <c r="E13" s="10">
        <v>7386</v>
      </c>
      <c r="F13" s="11">
        <f t="shared" ref="F13" si="12">E13*I13</f>
        <v>92530.198100850364</v>
      </c>
      <c r="G13" s="10">
        <f t="shared" si="6"/>
        <v>60000</v>
      </c>
      <c r="H13" s="11">
        <f>G13*I13</f>
        <v>751666.9220215301</v>
      </c>
      <c r="I13" s="66">
        <f t="shared" si="7"/>
        <v>12.527782033692169</v>
      </c>
      <c r="J13" s="92">
        <v>70098</v>
      </c>
      <c r="K13" s="81">
        <f>J12*I13</f>
        <v>141626.57589088997</v>
      </c>
      <c r="L13" s="2">
        <v>65000</v>
      </c>
      <c r="M13" s="83">
        <f t="shared" si="11"/>
        <v>878172.46499775373</v>
      </c>
      <c r="O13" s="2">
        <f t="shared" si="9"/>
        <v>0</v>
      </c>
    </row>
    <row r="14" spans="1:15" ht="14.25" thickBot="1" ns3:dyDescent="0.2">
      <c r="A14" s="2">
        <v>11</v>
      </c>
      <c r="B14" s="28">
        <f t="shared" si="4"/>
        <v>41</v>
      </c>
      <c r="C14" s="6">
        <f t="shared" si="5"/>
        <v>9575</v>
      </c>
      <c r="D14" s="11">
        <f t="shared" ref="D14:D23" si="13">C14*I14</f>
        <v>125351.42105636964</v>
      </c>
      <c r="E14" s="10">
        <v>18108</v>
      </c>
      <c r="F14" s="11">
        <f t="shared" ref="F14:F22" si="14">E14*I14</f>
        <v>237061.46553407219</v>
      </c>
      <c r="G14" s="10">
        <f t="shared" si="6"/>
        <v>60000</v>
      </c>
      <c r="H14" s="11">
        <f t="shared" ref="H14:H22" si="15">G14*I14</f>
        <v>785491.93351249897</v>
      </c>
      <c r="I14" s="66">
        <f t="shared" si="7"/>
        <v>13.091532225208317</v>
      </c>
      <c r="O14" s="2">
        <f t="shared" si="9"/>
        <v>0</v>
      </c>
    </row>
    <row r="15" spans="1:15" ht="14.25" thickBot="1" ns3:dyDescent="0.2">
      <c r="A15" s="2">
        <v>12</v>
      </c>
      <c r="B15" s="28">
        <f t="shared" si="4"/>
        <v>42</v>
      </c>
      <c r="C15" s="6">
        <f t="shared" si="5"/>
        <v>9575</v>
      </c>
      <c r="D15" s="11">
        <f t="shared" si="13"/>
        <v>130992.23500390626</v>
      </c>
      <c r="E15" s="10">
        <v>18109</v>
      </c>
      <c r="F15" s="11">
        <f t="shared" si="14"/>
        <v>247742.91213428078</v>
      </c>
      <c r="G15" s="10">
        <f t="shared" si="6"/>
        <v>60000</v>
      </c>
      <c r="H15" s="11">
        <f t="shared" si="15"/>
        <v>820839.07052056142</v>
      </c>
      <c r="I15" s="66">
        <f t="shared" si="7"/>
        <v>13.680651175342691</v>
      </c>
    </row>
    <row r="16" spans="1:15" ht="14.25" thickBot="1" ns3:dyDescent="0.2">
      <c r="A16" s="2">
        <v>13</v>
      </c>
      <c r="B16" s="28">
        <f t="shared" si="4"/>
        <v>43</v>
      </c>
      <c r="C16" s="6">
        <f t="shared" si="5"/>
        <v>9575</v>
      </c>
      <c r="D16" s="11">
        <f t="shared" si="13"/>
        <v>136886.88557908204</v>
      </c>
      <c r="E16" s="10">
        <v>18110</v>
      </c>
      <c r="F16" s="11">
        <f t="shared" si="14"/>
        <v>258905.63946080164</v>
      </c>
      <c r="G16" s="10">
        <f t="shared" si="6"/>
        <v>60000</v>
      </c>
      <c r="H16" s="11">
        <f t="shared" si="15"/>
        <v>857776.82869398664</v>
      </c>
      <c r="I16" s="66">
        <f t="shared" si="7"/>
        <v>14.296280478233111</v>
      </c>
    </row>
    <row r="17" spans="1:16" ht="14.25" thickBot="1" ns3:dyDescent="0.2">
      <c r="A17" s="2">
        <v>14</v>
      </c>
      <c r="B17" s="28">
        <f t="shared" si="4"/>
        <v>44</v>
      </c>
      <c r="C17" s="6">
        <f t="shared" si="5"/>
        <v>9575</v>
      </c>
      <c r="D17" s="11">
        <f t="shared" si="13"/>
        <v>143046.79543014072</v>
      </c>
      <c r="E17" s="10">
        <v>18111</v>
      </c>
      <c r="F17" s="11">
        <f t="shared" si="14"/>
        <v>270571.33284963743</v>
      </c>
      <c r="G17" s="10">
        <f t="shared" si="6"/>
        <v>60000</v>
      </c>
      <c r="H17" s="11">
        <f t="shared" si="15"/>
        <v>896376.78598521603</v>
      </c>
      <c r="I17" s="66">
        <f t="shared" si="7"/>
        <v>14.939613099753601</v>
      </c>
    </row>
    <row r="18" spans="1:16" ht="18" thickBot="1" ns3:dyDescent="0.25">
      <c r="A18" s="2">
        <v>15</v>
      </c>
      <c r="B18" s="28">
        <f t="shared" si="4"/>
        <v>45</v>
      </c>
      <c r="C18" s="6">
        <f t="shared" si="5"/>
        <v>9575</v>
      </c>
      <c r="D18" s="11">
        <f t="shared" si="13"/>
        <v>149483.90122449704</v>
      </c>
      <c r="E18" s="10">
        <v>18112</v>
      </c>
      <c r="F18" s="11">
        <f t="shared" si="14"/>
        <v>282762.65472356038</v>
      </c>
      <c r="G18" s="10">
        <f t="shared" si="6"/>
        <v>60000</v>
      </c>
      <c r="H18" s="11">
        <f t="shared" si="15"/>
        <v>936713.74135455058</v>
      </c>
      <c r="I18" s="66">
        <f t="shared" si="7"/>
        <v>15.611895689242511</v>
      </c>
      <c r="J18" s="89">
        <v>78005</v>
      </c>
      <c r="K18" s="67">
        <f>J18*I18</f>
        <v>1217805.923239362</v>
      </c>
      <c r="M18" s="69">
        <f>J18*I18</f>
        <v>1217805.923239362</v>
      </c>
    </row>
    <row r="19" spans="1:16" ht="14.25" thickBot="1" ns3:dyDescent="0.2">
      <c r="A19" s="2">
        <v>16</v>
      </c>
      <c r="B19" s="28">
        <f t="shared" si="4"/>
        <v>46</v>
      </c>
      <c r="C19" s="6">
        <f t="shared" si="5"/>
        <v>9575</v>
      </c>
      <c r="D19" s="11">
        <f t="shared" si="13"/>
        <v>156210.67677959939</v>
      </c>
      <c r="E19" s="10">
        <v>18113</v>
      </c>
      <c r="F19" s="11">
        <f t="shared" si="14"/>
        <v>295503.28861711582</v>
      </c>
      <c r="G19" s="10">
        <f t="shared" si="6"/>
        <v>60000</v>
      </c>
      <c r="H19" s="11">
        <f t="shared" si="15"/>
        <v>978865.85971550539</v>
      </c>
      <c r="I19" s="66">
        <f t="shared" si="7"/>
        <v>16.314430995258423</v>
      </c>
    </row>
    <row r="20" spans="1:16" ht="18" thickBot="1" ns3:dyDescent="0.25">
      <c r="A20" s="2">
        <v>17</v>
      </c>
      <c r="B20" s="28">
        <f t="shared" si="4"/>
        <v>47</v>
      </c>
      <c r="C20" s="6">
        <f t="shared" si="5"/>
        <v>9575</v>
      </c>
      <c r="D20" s="11">
        <f t="shared" si="13"/>
        <v>163240.15723468136</v>
      </c>
      <c r="E20" s="10">
        <v>18114</v>
      </c>
      <c r="F20" s="11">
        <f t="shared" si="14"/>
        <v>308817.98518527602</v>
      </c>
      <c r="G20" s="10">
        <f t="shared" si="6"/>
        <v>60000</v>
      </c>
      <c r="H20" s="11">
        <f t="shared" si="15"/>
        <v>1022914.823402703</v>
      </c>
      <c r="I20" s="66">
        <f t="shared" si="7"/>
        <v>17.04858039004505</v>
      </c>
      <c r="J20" s="68">
        <v>56681</v>
      </c>
      <c r="M20" s="69">
        <f>J20*I20</f>
        <v>966330.58508814347</v>
      </c>
    </row>
    <row r="21" spans="1:16" ht="14.25" thickBot="1" ns3:dyDescent="0.2">
      <c r="A21" s="2">
        <v>18</v>
      </c>
      <c r="B21" s="28">
        <f t="shared" si="4"/>
        <v>48</v>
      </c>
      <c r="C21" s="6">
        <f t="shared" si="5"/>
        <v>9575</v>
      </c>
      <c r="D21" s="11">
        <f t="shared" si="13"/>
        <v>170585.96431024201</v>
      </c>
      <c r="E21" s="10">
        <v>18115</v>
      </c>
      <c r="F21" s="11">
        <f t="shared" si="14"/>
        <v>322732.61028512102</v>
      </c>
      <c r="G21" s="10">
        <f t="shared" si="6"/>
        <v>60000</v>
      </c>
      <c r="H21" s="11">
        <f t="shared" si="15"/>
        <v>1068945.9904558244</v>
      </c>
      <c r="I21" s="66">
        <f t="shared" si="7"/>
        <v>17.815766507597075</v>
      </c>
    </row>
    <row r="22" spans="1:16" ht="14.25" thickBot="1" ns3:dyDescent="0.2">
      <c r="A22" s="2">
        <v>19</v>
      </c>
      <c r="B22" s="28">
        <f t="shared" si="4"/>
        <v>49</v>
      </c>
      <c r="C22" s="6">
        <f t="shared" si="5"/>
        <v>9575</v>
      </c>
      <c r="D22" s="11">
        <f t="shared" si="13"/>
        <v>178262.33270420285</v>
      </c>
      <c r="E22" s="10">
        <v>18116</v>
      </c>
      <c r="F22" s="11">
        <f t="shared" si="14"/>
        <v>337274.19522395189</v>
      </c>
      <c r="G22" s="10">
        <f t="shared" si="6"/>
        <v>60000</v>
      </c>
      <c r="H22" s="11">
        <f t="shared" si="15"/>
        <v>1117048.5600263365</v>
      </c>
      <c r="I22" s="66">
        <f t="shared" si="7"/>
        <v>18.617476000438941</v>
      </c>
    </row>
    <row r="23" spans="1:16" ht="15" thickBot="1" ns3:dyDescent="0.25">
      <c r="A23" s="2">
        <v>20</v>
      </c>
      <c r="B23" s="28">
        <f t="shared" si="4"/>
        <v>50</v>
      </c>
      <c r="C23" s="6">
        <f t="shared" si="5"/>
        <v>9575</v>
      </c>
      <c r="D23" s="11">
        <f t="shared" si="13"/>
        <v>186284.13767589198</v>
      </c>
      <c r="E23" s="10">
        <v>18116</v>
      </c>
      <c r="F23" s="11">
        <f t="shared" ref="F23" si="16">E23*I23</f>
        <v>352451.53400902962</v>
      </c>
      <c r="G23" s="10">
        <f t="shared" si="6"/>
        <v>60000</v>
      </c>
      <c r="H23" s="11">
        <f t="shared" ref="H23" si="17">G23*I23</f>
        <v>1167315.7452275215</v>
      </c>
      <c r="I23" s="66">
        <f t="shared" si="7"/>
        <v>19.455262420458691</v>
      </c>
      <c r="J23" s="96">
        <v>36193</v>
      </c>
      <c r="K23" s="97">
        <f>J23*I23</f>
        <v>704144.31278366141</v>
      </c>
      <c r="L23" s="98"/>
      <c r="M23" s="99">
        <f>J23*I23</f>
        <v>704144.31278366141</v>
      </c>
      <c r="N23" s="73"/>
      <c r="O23" s="2">
        <v>120000</v>
      </c>
      <c r="P23" s="2">
        <f>O23*I23</f>
        <v>2334631.490455043</v>
      </c>
    </row>
    <row r="24" spans="1:16" ht="14.25" thickBot="1" ns3:dyDescent="0.2">
      <c r="A24" s="2">
        <v>21</v>
      </c>
      <c r="B24" s="28">
        <f t="shared" si="4"/>
        <v>51</v>
      </c>
      <c r="C24" s="6"/>
      <c r="D24" s="11"/>
      <c r="E24" s="10">
        <v>18117</v>
      </c>
      <c r="F24" s="11">
        <f t="shared" ref="F24:F49" si="18">E24*I24</f>
        <v>368332.18378866534</v>
      </c>
      <c r="G24" s="10">
        <f t="shared" si="6"/>
        <v>60000</v>
      </c>
      <c r="H24" s="11">
        <f t="shared" ref="H24:H49" si="19">G24*I24</f>
        <v>1219844.9537627599</v>
      </c>
      <c r="I24" s="66">
        <f t="shared" si="7"/>
        <v>20.330749229379332</v>
      </c>
    </row>
    <row r="25" spans="1:16" ht="21.75" thickBot="1" ns3:dyDescent="0.3">
      <c r="A25" s="2">
        <v>22</v>
      </c>
      <c r="B25" s="28">
        <f t="shared" si="4"/>
        <v>52</v>
      </c>
      <c r="C25" s="6"/>
      <c r="D25" s="11"/>
      <c r="E25" s="10">
        <v>18118</v>
      </c>
      <c r="F25" s="11">
        <f t="shared" si="18"/>
        <v>384928.37769210001</v>
      </c>
      <c r="G25" s="10">
        <f t="shared" si="6"/>
        <v>60000</v>
      </c>
      <c r="H25" s="11">
        <f t="shared" si="19"/>
        <v>1274737.9766820841</v>
      </c>
      <c r="I25" s="66">
        <f t="shared" si="7"/>
        <v>21.245632944701402</v>
      </c>
      <c r="J25" s="68">
        <v>61629</v>
      </c>
      <c r="M25" s="70">
        <f>J25*I25</f>
        <v>1309347.1127490026</v>
      </c>
    </row>
    <row r="26" spans="1:16" ht="21.75" thickBot="1" ns3:dyDescent="0.3">
      <c r="A26" s="2">
        <v>23</v>
      </c>
      <c r="B26" s="28">
        <f t="shared" si="4"/>
        <v>53</v>
      </c>
      <c r="C26" s="6"/>
      <c r="D26" s="11"/>
      <c r="E26" s="10">
        <v>18119</v>
      </c>
      <c r="F26" s="11">
        <f t="shared" si="18"/>
        <v>402272.35637467168</v>
      </c>
      <c r="G26" s="10">
        <f t="shared" si="6"/>
        <v>60000</v>
      </c>
      <c r="H26" s="11">
        <f t="shared" si="19"/>
        <v>1332101.1856327776</v>
      </c>
      <c r="I26" s="66">
        <f t="shared" si="7"/>
        <v>22.201686427212962</v>
      </c>
      <c r="M26" s="70">
        <f>J26*I26</f>
        <v>0</v>
      </c>
    </row>
    <row r="27" spans="1:16" ht="14.25" thickBot="1" ns3:dyDescent="0.2">
      <c r="A27" s="2">
        <v>24</v>
      </c>
      <c r="B27" s="28">
        <f t="shared" si="4"/>
        <v>54</v>
      </c>
      <c r="C27" s="6"/>
      <c r="D27" s="11"/>
      <c r="E27" s="10">
        <v>18120</v>
      </c>
      <c r="F27" s="11">
        <f t="shared" si="18"/>
        <v>420397.81317384832</v>
      </c>
      <c r="G27" s="10">
        <f t="shared" si="6"/>
        <v>60000</v>
      </c>
      <c r="H27" s="11">
        <f t="shared" si="19"/>
        <v>1392045.7389862526</v>
      </c>
      <c r="I27" s="66">
        <f t="shared" si="7"/>
        <v>23.200762316437544</v>
      </c>
    </row>
    <row r="28" spans="1:16" ht="14.25" thickBot="1" ns3:dyDescent="0.2">
      <c r="A28" s="2">
        <v>25</v>
      </c>
      <c r="B28" s="28">
        <f t="shared" si="4"/>
        <v>55</v>
      </c>
      <c r="C28" s="6"/>
      <c r="D28" s="11"/>
      <c r="E28" s="10">
        <v>18121</v>
      </c>
      <c r="F28" s="11">
        <f t="shared" si="18"/>
        <v>439339.9595632921</v>
      </c>
      <c r="G28" s="10">
        <f t="shared" si="6"/>
        <v>60000</v>
      </c>
      <c r="H28" s="11">
        <f t="shared" si="19"/>
        <v>1454687.797240634</v>
      </c>
      <c r="I28" s="66">
        <f t="shared" si="7"/>
        <v>24.244796620677231</v>
      </c>
      <c r="J28" s="89">
        <v>40883</v>
      </c>
      <c r="K28" s="97">
        <f>J28*I28</f>
        <v>991200.02024314727</v>
      </c>
      <c r="L28" s="98"/>
      <c r="M28" s="98">
        <f>J28*I28</f>
        <v>991200.02024314727</v>
      </c>
    </row>
    <row r="29" spans="1:16" ht="14.25" thickBot="1" ns3:dyDescent="0.2">
      <c r="A29" s="2">
        <v>26</v>
      </c>
      <c r="B29" s="28">
        <f t="shared" si="4"/>
        <v>56</v>
      </c>
      <c r="C29" s="6"/>
      <c r="D29" s="11"/>
      <c r="E29" s="10">
        <v>18122</v>
      </c>
      <c r="F29" s="11">
        <f t="shared" si="18"/>
        <v>459135.59355610883</v>
      </c>
      <c r="G29" s="10">
        <f t="shared" si="6"/>
        <v>60000</v>
      </c>
      <c r="H29" s="11">
        <f t="shared" si="19"/>
        <v>1520148.7481164623</v>
      </c>
      <c r="I29" s="66">
        <f t="shared" si="7"/>
        <v>25.335812468607706</v>
      </c>
    </row>
    <row r="30" spans="1:16" ht="14.25" thickBot="1" ns3:dyDescent="0.2">
      <c r="A30" s="2">
        <v>27</v>
      </c>
      <c r="B30" s="28">
        <f t="shared" si="4"/>
        <v>57</v>
      </c>
      <c r="C30" s="6"/>
      <c r="D30" s="11"/>
      <c r="E30" s="10">
        <v>18123</v>
      </c>
      <c r="F30" s="11">
        <f t="shared" si="18"/>
        <v>479823.17119016341</v>
      </c>
      <c r="G30" s="10">
        <f t="shared" si="6"/>
        <v>60000</v>
      </c>
      <c r="H30" s="11">
        <f t="shared" si="19"/>
        <v>1588555.4417817031</v>
      </c>
      <c r="I30" s="66">
        <f t="shared" si="7"/>
        <v>26.475924029695051</v>
      </c>
      <c r="J30" s="68">
        <v>69077</v>
      </c>
      <c r="M30" s="2">
        <f>J30*I30</f>
        <v>1828877.4041992449</v>
      </c>
    </row>
    <row r="31" spans="1:16" ht="14.25" thickBot="1" ns3:dyDescent="0.2">
      <c r="A31" s="2">
        <v>28</v>
      </c>
      <c r="B31" s="28">
        <f t="shared" si="4"/>
        <v>58</v>
      </c>
      <c r="C31" s="6"/>
      <c r="D31" s="11"/>
      <c r="E31" s="10">
        <v>18124</v>
      </c>
      <c r="F31" s="11">
        <f t="shared" si="18"/>
        <v>501442.88123433181</v>
      </c>
      <c r="G31" s="10">
        <f t="shared" si="6"/>
        <v>60000</v>
      </c>
      <c r="H31" s="11">
        <f t="shared" si="19"/>
        <v>1660040.4366618798</v>
      </c>
      <c r="I31" s="66">
        <f t="shared" si="7"/>
        <v>27.667340611031328</v>
      </c>
      <c r="J31" s="65">
        <v>30067</v>
      </c>
      <c r="M31" s="2">
        <f>J31*I31</f>
        <v>831873.93015187897</v>
      </c>
    </row>
    <row r="32" spans="1:16" ht="14.25" thickBot="1" ns3:dyDescent="0.2">
      <c r="A32" s="2">
        <v>29</v>
      </c>
      <c r="B32" s="28">
        <f t="shared" si="4"/>
        <v>59</v>
      </c>
      <c r="C32" s="6"/>
      <c r="D32" s="11"/>
      <c r="E32" s="10">
        <v>18125</v>
      </c>
      <c r="F32" s="11">
        <f t="shared" si="18"/>
        <v>524036.7232608152</v>
      </c>
      <c r="G32" s="10">
        <f t="shared" si="6"/>
        <v>60000</v>
      </c>
      <c r="H32" s="11">
        <f t="shared" si="19"/>
        <v>1734742.2563116641</v>
      </c>
      <c r="I32" s="66">
        <f t="shared" si="7"/>
        <v>28.912370938527737</v>
      </c>
    </row>
    <row r="33" spans="1:13" ht="14.25" thickBot="1" ns3:dyDescent="0.2">
      <c r="A33" s="2">
        <v>30</v>
      </c>
      <c r="B33" s="28">
        <f t="shared" si="4"/>
        <v>60</v>
      </c>
      <c r="C33" s="6"/>
      <c r="D33" s="11"/>
      <c r="E33" s="10">
        <v>18126</v>
      </c>
      <c r="F33" s="11">
        <f t="shared" si="18"/>
        <v>547648.58923518262</v>
      </c>
      <c r="G33" s="10">
        <f t="shared" si="6"/>
        <v>60000</v>
      </c>
      <c r="H33" s="11">
        <f t="shared" si="19"/>
        <v>1812805.657845689</v>
      </c>
      <c r="I33" s="66">
        <f t="shared" si="7"/>
        <v>30.213427630761483</v>
      </c>
      <c r="J33" s="89">
        <v>45807</v>
      </c>
      <c r="K33" s="97">
        <f>J33*I33</f>
        <v>1383986.4794822913</v>
      </c>
      <c r="L33" s="98"/>
      <c r="M33" s="98">
        <f>J33*I33</f>
        <v>1383986.4794822913</v>
      </c>
    </row>
    <row r="34" spans="1:13" ht="14.25" thickBot="1" ns3:dyDescent="0.2">
      <c r="A34" s="2">
        <v>31</v>
      </c>
      <c r="B34" s="28">
        <f t="shared" si="4"/>
        <v>61</v>
      </c>
      <c r="C34" s="6"/>
      <c r="D34" s="11"/>
      <c r="E34" s="10">
        <v>18127</v>
      </c>
      <c r="F34" s="11">
        <f t="shared" si="18"/>
        <v>572324.34878263995</v>
      </c>
      <c r="G34" s="10">
        <f t="shared" si="6"/>
        <v>60000</v>
      </c>
      <c r="H34" s="11">
        <f t="shared" si="19"/>
        <v>1894381.912448745</v>
      </c>
      <c r="I34" s="66">
        <f t="shared" si="7"/>
        <v>31.573031874145748</v>
      </c>
    </row>
    <row r="35" spans="1:13" ht="14.25" thickBot="1" ns3:dyDescent="0.2">
      <c r="A35" s="2">
        <v>32</v>
      </c>
      <c r="B35" s="28">
        <f t="shared" si="4"/>
        <v>62</v>
      </c>
      <c r="C35" s="6"/>
      <c r="D35" s="11"/>
      <c r="E35" s="10">
        <v>18128</v>
      </c>
      <c r="F35" s="11">
        <f t="shared" si="18"/>
        <v>598111.93829616718</v>
      </c>
      <c r="G35" s="10">
        <f t="shared" si="6"/>
        <v>60000</v>
      </c>
      <c r="H35" s="11">
        <f t="shared" si="19"/>
        <v>1979629.0985089382</v>
      </c>
      <c r="I35" s="66">
        <f t="shared" si="7"/>
        <v>32.993818308482304</v>
      </c>
      <c r="J35" s="89">
        <v>94246</v>
      </c>
      <c r="M35" s="2">
        <f t="shared" ref="M35:M40" si="20">J35*I35</f>
        <v>3109535.4003012232</v>
      </c>
    </row>
    <row r="36" spans="1:13" ht="14.25" thickBot="1" ns3:dyDescent="0.2">
      <c r="A36" s="2">
        <v>33</v>
      </c>
      <c r="B36" s="28">
        <f t="shared" si="4"/>
        <v>63</v>
      </c>
      <c r="C36" s="6"/>
      <c r="D36" s="11"/>
      <c r="E36" s="10">
        <v>18129</v>
      </c>
      <c r="F36" s="11">
        <f t="shared" si="18"/>
        <v>625061.45405962702</v>
      </c>
      <c r="G36" s="10">
        <f t="shared" si="6"/>
        <v>60000</v>
      </c>
      <c r="H36" s="11">
        <f t="shared" si="19"/>
        <v>2068712.4079418401</v>
      </c>
      <c r="I36" s="66">
        <f t="shared" si="7"/>
        <v>34.478540132364003</v>
      </c>
      <c r="J36" s="68">
        <v>62128</v>
      </c>
      <c r="M36" s="2">
        <f t="shared" si="20"/>
        <v>2142082.7413435108</v>
      </c>
    </row>
    <row r="37" spans="1:13" ht="14.25" thickBot="1" ns3:dyDescent="0.2">
      <c r="A37" s="2">
        <v>34</v>
      </c>
      <c r="B37" s="28">
        <f t="shared" si="4"/>
        <v>64</v>
      </c>
      <c r="C37" s="6"/>
      <c r="D37" s="11"/>
      <c r="E37" s="10">
        <v>18130</v>
      </c>
      <c r="F37" s="11">
        <f t="shared" si="18"/>
        <v>653225.24956674851</v>
      </c>
      <c r="G37" s="10">
        <f t="shared" si="6"/>
        <v>60000</v>
      </c>
      <c r="H37" s="11">
        <f t="shared" si="19"/>
        <v>2161804.4662992228</v>
      </c>
      <c r="I37" s="66">
        <f t="shared" si="7"/>
        <v>36.030074438320383</v>
      </c>
      <c r="J37" s="68">
        <v>182124</v>
      </c>
      <c r="M37" s="2">
        <f t="shared" si="20"/>
        <v>6561941.277004662</v>
      </c>
    </row>
    <row r="38" spans="1:13" ht="14.25" thickBot="1" ns3:dyDescent="0.2">
      <c r="A38" s="2">
        <v>35</v>
      </c>
      <c r="B38" s="28">
        <f t="shared" si="4"/>
        <v>65</v>
      </c>
      <c r="C38" s="6"/>
      <c r="D38" s="11"/>
      <c r="E38" s="10">
        <v>18131</v>
      </c>
      <c r="F38" s="11">
        <f t="shared" si="18"/>
        <v>682658.03722504026</v>
      </c>
      <c r="G38" s="10">
        <f t="shared" si="6"/>
        <v>60000</v>
      </c>
      <c r="H38" s="11">
        <f t="shared" si="19"/>
        <v>2259085.667282688</v>
      </c>
      <c r="I38" s="66">
        <f t="shared" si="7"/>
        <v>37.651427788044799</v>
      </c>
      <c r="J38" s="68">
        <v>49073</v>
      </c>
      <c r="M38" s="2">
        <f t="shared" si="20"/>
        <v>1847668.5158427225</v>
      </c>
    </row>
    <row r="39" spans="1:13" ht="14.25" thickBot="1" ns3:dyDescent="0.2">
      <c r="A39" s="2">
        <v>36</v>
      </c>
      <c r="B39" s="28">
        <f t="shared" si="4"/>
        <v>66</v>
      </c>
      <c r="C39" s="6"/>
      <c r="D39" s="11"/>
      <c r="E39" s="10">
        <v>18132</v>
      </c>
      <c r="F39" s="11">
        <f t="shared" si="18"/>
        <v>713416.99464220554</v>
      </c>
      <c r="G39" s="10">
        <f t="shared" si="6"/>
        <v>60000</v>
      </c>
      <c r="H39" s="11">
        <f t="shared" si="19"/>
        <v>2360744.5223104088</v>
      </c>
      <c r="I39" s="66">
        <f t="shared" si="7"/>
        <v>39.345742038506813</v>
      </c>
      <c r="J39" s="68">
        <v>47028</v>
      </c>
      <c r="M39" s="2">
        <f t="shared" si="20"/>
        <v>1850351.5565868984</v>
      </c>
    </row>
    <row r="40" spans="1:13" ht="14.25" thickBot="1" ns3:dyDescent="0.2">
      <c r="A40" s="2">
        <v>37</v>
      </c>
      <c r="B40" s="28">
        <f t="shared" si="4"/>
        <v>67</v>
      </c>
      <c r="C40" s="6"/>
      <c r="D40" s="11"/>
      <c r="E40" s="10">
        <v>18133</v>
      </c>
      <c r="F40" s="11">
        <f t="shared" si="18"/>
        <v>745561.87570153503</v>
      </c>
      <c r="G40" s="10">
        <f t="shared" si="6"/>
        <v>60000</v>
      </c>
      <c r="H40" s="11">
        <f t="shared" si="19"/>
        <v>2466978.0258143772</v>
      </c>
      <c r="I40" s="66">
        <f t="shared" si="7"/>
        <v>41.116300430239619</v>
      </c>
      <c r="J40" s="68">
        <v>66724</v>
      </c>
      <c r="M40" s="2">
        <f t="shared" si="20"/>
        <v>2743444.0299073085</v>
      </c>
    </row>
    <row r="41" spans="1:13" ht="14.25" thickBot="1" ns3:dyDescent="0.2">
      <c r="A41" s="2">
        <v>38</v>
      </c>
      <c r="B41" s="28">
        <f t="shared" si="4"/>
        <v>68</v>
      </c>
      <c r="C41" s="6"/>
      <c r="D41" s="11"/>
      <c r="E41" s="10">
        <v>18134</v>
      </c>
      <c r="F41" s="11">
        <f t="shared" si="18"/>
        <v>779155.1266420536</v>
      </c>
      <c r="G41" s="10">
        <f t="shared" si="6"/>
        <v>60000</v>
      </c>
      <c r="H41" s="11">
        <f t="shared" si="19"/>
        <v>2577992.0369760236</v>
      </c>
      <c r="I41" s="66">
        <f t="shared" si="7"/>
        <v>42.966533949600397</v>
      </c>
    </row>
    <row r="42" spans="1:13" ht="14.25" thickBot="1" ns3:dyDescent="0.2">
      <c r="A42" s="2">
        <v>39</v>
      </c>
      <c r="B42" s="28">
        <f t="shared" si="4"/>
        <v>69</v>
      </c>
      <c r="C42" s="6"/>
      <c r="D42" s="11"/>
      <c r="E42" s="10">
        <v>18135</v>
      </c>
      <c r="F42" s="11">
        <f t="shared" si="18"/>
        <v>814262.00736892328</v>
      </c>
      <c r="G42" s="10">
        <f t="shared" si="6"/>
        <v>60000</v>
      </c>
      <c r="H42" s="11">
        <f t="shared" si="19"/>
        <v>2694001.6786399446</v>
      </c>
      <c r="I42" s="66">
        <f t="shared" si="7"/>
        <v>44.900027977332414</v>
      </c>
    </row>
    <row r="43" spans="1:13" ht="14.25" thickBot="1" ns3:dyDescent="0.2">
      <c r="A43" s="2">
        <v>40</v>
      </c>
      <c r="B43" s="28">
        <f t="shared" si="4"/>
        <v>70</v>
      </c>
      <c r="C43" s="6"/>
      <c r="D43" s="11"/>
      <c r="E43" s="10">
        <v>18136</v>
      </c>
      <c r="F43" s="11">
        <f t="shared" si="18"/>
        <v>850950.71822976111</v>
      </c>
      <c r="G43" s="10">
        <f t="shared" si="6"/>
        <v>60000</v>
      </c>
      <c r="H43" s="11">
        <f t="shared" si="19"/>
        <v>2815231.7541787419</v>
      </c>
      <c r="I43" s="66">
        <f t="shared" si="7"/>
        <v>46.920529236312369</v>
      </c>
    </row>
    <row r="44" spans="1:13" ht="14.25" thickBot="1" ns3:dyDescent="0.2">
      <c r="A44" s="2">
        <v>41</v>
      </c>
      <c r="B44" s="28">
        <f t="shared" si="4"/>
        <v>71</v>
      </c>
      <c r="C44" s="6"/>
      <c r="D44" s="11"/>
      <c r="E44" s="10">
        <v>18137</v>
      </c>
      <c r="F44" s="11">
        <f t="shared" si="18"/>
        <v>889292.53250315227</v>
      </c>
      <c r="G44" s="10">
        <f t="shared" si="6"/>
        <v>60000</v>
      </c>
      <c r="H44" s="11">
        <f t="shared" si="19"/>
        <v>2941917.1831167853</v>
      </c>
      <c r="I44" s="66">
        <f t="shared" si="7"/>
        <v>49.031953051946424</v>
      </c>
    </row>
    <row r="45" spans="1:13" ht="14.25" thickBot="1" ns3:dyDescent="0.2">
      <c r="A45" s="2">
        <v>42</v>
      </c>
      <c r="B45" s="28">
        <f t="shared" si="4"/>
        <v>72</v>
      </c>
      <c r="C45" s="6"/>
      <c r="D45" s="11"/>
      <c r="E45" s="10">
        <v>18138</v>
      </c>
      <c r="F45" s="11">
        <f t="shared" si="18"/>
        <v>929361.93485673331</v>
      </c>
      <c r="G45" s="10">
        <f t="shared" si="6"/>
        <v>60000</v>
      </c>
      <c r="H45" s="11">
        <f t="shared" si="19"/>
        <v>3074303.4563570404</v>
      </c>
      <c r="I45" s="66">
        <f t="shared" si="7"/>
        <v>51.23839093928401</v>
      </c>
    </row>
    <row r="46" spans="1:13" ht="14.25" thickBot="1" ns3:dyDescent="0.2">
      <c r="A46" s="2">
        <v>43</v>
      </c>
      <c r="B46" s="28">
        <f t="shared" si="4"/>
        <v>73</v>
      </c>
      <c r="C46" s="6"/>
      <c r="D46" s="11"/>
      <c r="E46" s="10">
        <v>18139</v>
      </c>
      <c r="F46" s="11">
        <f t="shared" si="18"/>
        <v>971236.76604381786</v>
      </c>
      <c r="G46" s="10">
        <f t="shared" si="6"/>
        <v>60000</v>
      </c>
      <c r="H46" s="11">
        <f t="shared" si="19"/>
        <v>3212647.1118931072</v>
      </c>
      <c r="I46" s="66">
        <f t="shared" si="7"/>
        <v>53.544118531551788</v>
      </c>
      <c r="J46" s="68">
        <v>157346</v>
      </c>
      <c r="M46" s="2">
        <f>J46*I46</f>
        <v>8424952.8744655475</v>
      </c>
    </row>
    <row r="47" spans="1:13" ht="14.25" thickBot="1" ns3:dyDescent="0.2">
      <c r="A47" s="2">
        <v>44</v>
      </c>
      <c r="B47" s="28">
        <f t="shared" si="4"/>
        <v>74</v>
      </c>
      <c r="C47" s="6"/>
      <c r="D47" s="11"/>
      <c r="E47" s="10">
        <v>18140</v>
      </c>
      <c r="F47" s="11">
        <f t="shared" si="18"/>
        <v>1014998.3741196551</v>
      </c>
      <c r="G47" s="10">
        <f t="shared" si="6"/>
        <v>60000</v>
      </c>
      <c r="H47" s="11">
        <f t="shared" si="19"/>
        <v>3357216.2319282969</v>
      </c>
      <c r="I47" s="66">
        <f t="shared" si="7"/>
        <v>55.953603865471614</v>
      </c>
    </row>
    <row r="48" spans="1:13" ht="14.25" thickBot="1" ns3:dyDescent="0.2">
      <c r="A48" s="2">
        <v>45</v>
      </c>
      <c r="B48" s="28">
        <f t="shared" si="4"/>
        <v>75</v>
      </c>
      <c r="C48" s="6"/>
      <c r="D48" s="11"/>
      <c r="E48" s="10">
        <v>18141</v>
      </c>
      <c r="F48" s="11">
        <f t="shared" si="18"/>
        <v>1060731.7724710789</v>
      </c>
      <c r="G48" s="10">
        <f t="shared" si="6"/>
        <v>60000</v>
      </c>
      <c r="H48" s="11">
        <f t="shared" si="19"/>
        <v>3508290.9623650704</v>
      </c>
      <c r="I48" s="66">
        <f t="shared" si="7"/>
        <v>58.471516039417835</v>
      </c>
      <c r="J48" s="68"/>
      <c r="M48" s="2">
        <f>J48*I48</f>
        <v>0</v>
      </c>
    </row>
    <row r="49" spans="1:9" ns3:dyDescent="0.15">
      <c r="A49" s="2">
        <v>46</v>
      </c>
      <c r="B49" s="28">
        <f t="shared" si="4"/>
        <v>76</v>
      </c>
      <c r="C49" s="6"/>
      <c r="D49" s="11"/>
      <c r="E49" s="10">
        <v>18142</v>
      </c>
      <c r="F49" s="11">
        <f t="shared" si="18"/>
        <v>1108525.8049665387</v>
      </c>
      <c r="G49" s="10">
        <f t="shared" si="6"/>
        <v>60000</v>
      </c>
      <c r="H49" s="11">
        <f t="shared" si="19"/>
        <v>3666164.0556714982</v>
      </c>
      <c r="I49" s="66">
        <f t="shared" si="7"/>
        <v>61.102734261191635</v>
      </c>
    </row>
    <row r="51" spans="1:9" ht="16.5" ns3:dyDescent="0.2">
      <c r="C51" s="2">
        <v>45004</v>
      </c>
      <c r="D51" s="72">
        <f>SUM(D4:D50)</f>
        <v>2532214.9749179394</v>
      </c>
      <c r="E51" s="16">
        <f>D51+50000</f>
        <v>2582214.9749179394</v>
      </c>
    </row>
    <row r="53" spans="1:9" ht="14.25" thickBot="1" ns3:dyDescent="0.2"/>
    <row r="54" spans="1:9" ht="16.5" customHeight="1" ns3:dyDescent="0.15">
      <c r="B54" s="199" t="s">
        <v>19</v>
      </c>
      <c r="C54" s="200"/>
      <c r="D54" s="170" t="s">
        <v>12</v>
      </c>
      <c r="E54" s="170"/>
      <c r="F54" s="199" t="s">
        <v>9</v>
      </c>
      <c r="G54" s="200"/>
      <c r="H54" s="170" t="s">
        <v>10</v>
      </c>
      <c r="I54" s="171"/>
    </row>
    <row r="55" spans="1:9" ht="17.25" customHeight="1" thickBot="1" ns3:dyDescent="0.2">
      <c r="B55" s="201"/>
      <c r="C55" s="202"/>
      <c r="D55" s="168"/>
      <c r="E55" s="168"/>
      <c r="F55" s="201"/>
      <c r="G55" s="202"/>
      <c r="H55" s="168"/>
      <c r="I55" s="172"/>
    </row>
    <row r="56" spans="1:9" ns3:dyDescent="0.15">
      <c r="B56" s="184" t="s">
        <v>29</v>
      </c>
      <c r="C56" s="185"/>
      <c r="D56" s="186">
        <f>D51</f>
        <v>2532214.9749179394</v>
      </c>
      <c r="E56" s="185"/>
      <c r="F56" s="186">
        <f>F18</f>
        <v>282762.65472356038</v>
      </c>
      <c r="G56" s="185"/>
      <c r="H56" s="178">
        <f>F56-D56</f>
        <v>-2249452.320194379</v>
      </c>
      <c r="I56" s="179"/>
    </row>
    <row r="57" spans="1:9" ns3:dyDescent="0.15">
      <c r="B57" s="165"/>
      <c r="C57" s="166"/>
      <c r="D57" s="166"/>
      <c r="E57" s="166"/>
      <c r="F57" s="166"/>
      <c r="G57" s="166"/>
      <c r="H57" s="175"/>
      <c r="I57" s="174"/>
    </row>
    <row r="58" spans="1:9" ns3:dyDescent="0.15">
      <c r="B58" s="165" t="s">
        <v>30</v>
      </c>
      <c r="C58" s="166"/>
      <c r="D58" s="169">
        <f>D56</f>
        <v>2532214.9749179394</v>
      </c>
      <c r="E58" s="166"/>
      <c r="F58" s="169">
        <f>F23</f>
        <v>352451.53400902962</v>
      </c>
      <c r="G58" s="166"/>
      <c r="H58" s="173">
        <f>F58-D58</f>
        <v>-2179763.4409089098</v>
      </c>
      <c r="I58" s="174"/>
    </row>
    <row r="59" spans="1:9" ns3:dyDescent="0.15">
      <c r="B59" s="165"/>
      <c r="C59" s="166"/>
      <c r="D59" s="166"/>
      <c r="E59" s="166"/>
      <c r="F59" s="166"/>
      <c r="G59" s="166"/>
      <c r="H59" s="175"/>
      <c r="I59" s="174"/>
    </row>
    <row r="60" spans="1:9" ns3:dyDescent="0.15">
      <c r="B60" s="165" t="s">
        <v>31</v>
      </c>
      <c r="C60" s="166"/>
      <c r="D60" s="169">
        <f>D58</f>
        <v>2532214.9749179394</v>
      </c>
      <c r="E60" s="166"/>
      <c r="F60" s="169">
        <f>F28</f>
        <v>439339.9595632921</v>
      </c>
      <c r="G60" s="166"/>
      <c r="H60" s="173">
        <f>F60-D60</f>
        <v>-2092875.0153546473</v>
      </c>
      <c r="I60" s="174"/>
    </row>
    <row r="61" spans="1:9" ht="14.25" thickBot="1" ns3:dyDescent="0.2">
      <c r="B61" s="167"/>
      <c r="C61" s="168"/>
      <c r="D61" s="168"/>
      <c r="E61" s="168"/>
      <c r="F61" s="168"/>
      <c r="G61" s="168"/>
      <c r="H61" s="176"/>
      <c r="I61" s="177"/>
    </row>
    <row r="64" spans="1:9" ns3:dyDescent="0.15">
      <c r="B64" s="192" t="s">
        <v>25</v>
      </c>
      <c r="C64" s="192"/>
      <c r="D64" s="192"/>
      <c r="E64" s="193">
        <f>H4</f>
        <v>505800</v>
      </c>
      <c r="F64" s="192"/>
    </row>
    <row r="65" spans="2:6" ns3:dyDescent="0.15">
      <c r="B65" s="192"/>
      <c r="C65" s="192"/>
      <c r="D65" s="192"/>
      <c r="E65" s="192"/>
      <c r="F65" s="192"/>
    </row>
    <row r="66" spans="2:6" ns3:dyDescent="0.15">
      <c r="B66" s="106" t="s">
        <v>26</v>
      </c>
      <c r="C66" s="106"/>
      <c r="D66" s="106"/>
      <c r="E66" s="107">
        <f>H4</f>
        <v>505800</v>
      </c>
      <c r="F66" s="108"/>
    </row>
    <row r="67" spans="2:6" ns3:dyDescent="0.15">
      <c r="B67" s="106"/>
      <c r="C67" s="106"/>
      <c r="D67" s="106"/>
      <c r="E67" s="108"/>
      <c r="F67" s="108"/>
    </row>
    <row r="68" spans="2:6" ns3:dyDescent="0.15">
      <c r="B68" s="194" t="s">
        <v>27</v>
      </c>
      <c r="C68" s="194"/>
      <c r="D68" s="194"/>
      <c r="E68" s="194"/>
      <c r="F68" s="194"/>
    </row>
    <row r="69" spans="2:6" ns3:dyDescent="0.15">
      <c r="B69" s="194"/>
      <c r="C69" s="194"/>
      <c r="D69" s="194"/>
      <c r="E69" s="194"/>
      <c r="F69" s="194"/>
    </row>
  </sheetData>
  <mergeCells count="28">
    <mergeCell ref="J2:J3"/>
    <mergeCell ref="K2:K3"/>
    <mergeCell ref="B54:C55"/>
    <mergeCell ref="D54:E55"/>
    <mergeCell ref="F54:G55"/>
    <mergeCell ref="H54:I55"/>
    <mergeCell ref="B2:B3"/>
    <mergeCell ref="C2:D2"/>
    <mergeCell ref="E2:F2"/>
    <mergeCell ref="G2:H2"/>
    <mergeCell ref="I2:I3"/>
    <mergeCell ref="B60:C61"/>
    <mergeCell ref="D60:E61"/>
    <mergeCell ref="F60:G61"/>
    <mergeCell ref="H60:I61"/>
    <mergeCell ref="B56:C57"/>
    <mergeCell ref="D56:E57"/>
    <mergeCell ref="F56:G57"/>
    <mergeCell ref="H56:I57"/>
    <mergeCell ref="B58:C59"/>
    <mergeCell ref="D58:E59"/>
    <mergeCell ref="F58:G59"/>
    <mergeCell ref="H58:I59"/>
    <mergeCell ref="B64:D65"/>
    <mergeCell ref="E64:F65"/>
    <mergeCell ref="B66:D67"/>
    <mergeCell ref="E66:F67"/>
    <mergeCell ref="B68:F69"/>
  </mergeCells>
  <pageMargins left="0.7" right="0.7" top="0.75" bottom="0.75" header="0.3" footer="0.3"/>
  <pageSetup orientation="portrait" horizontalDpi="0" verticalDpi="0"/>
  <headerFooter>
    <oddFooter>&amp;C&amp;"-,Negrita"&amp;12Jorge Palacios&amp;"Century Gothic,Normal"
asesor financiero y patrimonial
55.91.08.85.21</oddFooter>
  </headerFooter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C3:K68"/>
  <sheetViews>
    <sheetView workbookViewId="0">
      <selection activeCell="H63" sqref="H63"/>
    </sheetView>
  </sheetViews>
  <sheetFormatPr defaultColWidth="10.625" defaultRowHeight="15" ns3:dyDescent="0.2"/>
  <sheetData>
    <row r="3" spans="4:11" ns3:dyDescent="0.2">
      <c r="D3">
        <v>29</v>
      </c>
      <c r="E3" s="1">
        <v>2968</v>
      </c>
      <c r="F3">
        <v>0</v>
      </c>
      <c r="G3">
        <v>0</v>
      </c>
      <c r="H3" t="s">
        <v>7</v>
      </c>
      <c r="I3" s="1">
        <v>85000</v>
      </c>
      <c r="J3">
        <v>0</v>
      </c>
      <c r="K3">
        <v>0</v>
      </c>
    </row>
    <row r="4" spans="4:11" ns3:dyDescent="0.2">
      <c r="D4">
        <v>30</v>
      </c>
      <c r="E4" s="1">
        <v>2968</v>
      </c>
      <c r="F4">
        <v>0</v>
      </c>
      <c r="G4">
        <v>0</v>
      </c>
      <c r="H4" t="s">
        <v>7</v>
      </c>
      <c r="I4" s="1">
        <v>85000</v>
      </c>
      <c r="J4">
        <v>0</v>
      </c>
      <c r="K4">
        <v>0</v>
      </c>
    </row>
    <row r="5" spans="4:11" ns3:dyDescent="0.2">
      <c r="D5">
        <v>31</v>
      </c>
      <c r="E5" s="1">
        <v>2968</v>
      </c>
      <c r="F5" s="1">
        <v>3333</v>
      </c>
      <c r="G5">
        <v>37.43</v>
      </c>
      <c r="H5" t="s">
        <v>7</v>
      </c>
      <c r="I5" s="1">
        <v>85000</v>
      </c>
      <c r="J5">
        <v>0</v>
      </c>
      <c r="K5">
        <v>0</v>
      </c>
    </row>
    <row r="6" spans="4:11" ns3:dyDescent="0.2">
      <c r="D6">
        <v>32</v>
      </c>
      <c r="E6" s="1">
        <v>2968</v>
      </c>
      <c r="F6" s="1">
        <v>5299</v>
      </c>
      <c r="G6">
        <v>44.63</v>
      </c>
      <c r="H6" t="s">
        <v>7</v>
      </c>
      <c r="I6" s="1">
        <v>85000</v>
      </c>
      <c r="J6">
        <v>0</v>
      </c>
      <c r="K6">
        <v>0</v>
      </c>
    </row>
    <row r="7" spans="4:11" ns3:dyDescent="0.2">
      <c r="D7">
        <v>33</v>
      </c>
      <c r="E7" s="1">
        <v>2968</v>
      </c>
      <c r="F7" s="1">
        <v>7381</v>
      </c>
      <c r="G7">
        <v>49.73</v>
      </c>
      <c r="H7" t="s">
        <v>7</v>
      </c>
      <c r="I7" s="1">
        <v>85000</v>
      </c>
      <c r="J7">
        <v>0</v>
      </c>
      <c r="K7">
        <v>0</v>
      </c>
    </row>
    <row r="8" spans="4:11" ns3:dyDescent="0.2">
      <c r="D8">
        <v>34</v>
      </c>
      <c r="E8" s="1">
        <v>2968</v>
      </c>
      <c r="F8" s="1">
        <v>10006</v>
      </c>
      <c r="G8">
        <v>56.19</v>
      </c>
      <c r="H8" t="s">
        <v>7</v>
      </c>
      <c r="I8" s="1">
        <v>85000</v>
      </c>
      <c r="J8">
        <v>0</v>
      </c>
      <c r="K8">
        <v>0</v>
      </c>
    </row>
    <row r="9" spans="4:11" ns3:dyDescent="0.2">
      <c r="D9">
        <v>35</v>
      </c>
      <c r="E9" s="1">
        <v>2968</v>
      </c>
      <c r="F9" s="1">
        <v>12515</v>
      </c>
      <c r="G9">
        <v>60.24</v>
      </c>
      <c r="H9" t="s">
        <v>7</v>
      </c>
      <c r="I9" s="1">
        <v>85000</v>
      </c>
      <c r="J9">
        <v>0</v>
      </c>
      <c r="K9">
        <v>0</v>
      </c>
    </row>
    <row r="10" spans="4:11" ns3:dyDescent="0.2">
      <c r="D10">
        <v>36</v>
      </c>
      <c r="E10" s="1">
        <v>2968</v>
      </c>
      <c r="F10" s="1">
        <v>15213</v>
      </c>
      <c r="G10">
        <v>64.069999999999993</v>
      </c>
      <c r="H10" t="s">
        <v>7</v>
      </c>
      <c r="I10" s="1">
        <v>85000</v>
      </c>
      <c r="J10">
        <v>0</v>
      </c>
      <c r="K10">
        <v>0</v>
      </c>
    </row>
    <row r="11" spans="4:11" ns3:dyDescent="0.2">
      <c r="D11">
        <v>37</v>
      </c>
      <c r="E11" s="1">
        <v>2968</v>
      </c>
      <c r="F11" s="1">
        <v>18107</v>
      </c>
      <c r="G11">
        <v>67.78</v>
      </c>
      <c r="H11" t="s">
        <v>7</v>
      </c>
      <c r="I11" s="1">
        <v>85000</v>
      </c>
      <c r="J11">
        <v>0</v>
      </c>
      <c r="K11">
        <v>0</v>
      </c>
    </row>
    <row r="12" spans="4:11" ns3:dyDescent="0.2">
      <c r="D12">
        <v>38</v>
      </c>
      <c r="E12" s="1">
        <v>2968</v>
      </c>
      <c r="F12" s="1">
        <v>22892</v>
      </c>
      <c r="G12">
        <v>77.13</v>
      </c>
      <c r="H12" t="s">
        <v>7</v>
      </c>
      <c r="I12" s="1">
        <v>85000</v>
      </c>
      <c r="J12">
        <v>0</v>
      </c>
      <c r="K12">
        <v>0</v>
      </c>
    </row>
    <row r="13" spans="4:11" ns3:dyDescent="0.2">
      <c r="D13">
        <v>39</v>
      </c>
      <c r="E13">
        <v>0</v>
      </c>
      <c r="F13" s="1">
        <v>23548</v>
      </c>
      <c r="G13">
        <v>79.34</v>
      </c>
      <c r="H13" t="s">
        <v>7</v>
      </c>
      <c r="I13" s="1">
        <v>85000</v>
      </c>
      <c r="J13">
        <v>0</v>
      </c>
      <c r="K13">
        <v>0</v>
      </c>
    </row>
    <row r="14" spans="4:11" ns3:dyDescent="0.2">
      <c r="D14">
        <v>40</v>
      </c>
      <c r="E14">
        <v>0</v>
      </c>
      <c r="F14" s="1">
        <v>24218</v>
      </c>
      <c r="G14">
        <v>81.599999999999994</v>
      </c>
      <c r="H14" t="s">
        <v>7</v>
      </c>
      <c r="I14" s="1">
        <v>85000</v>
      </c>
      <c r="J14">
        <v>0</v>
      </c>
      <c r="K14">
        <v>0</v>
      </c>
    </row>
    <row r="15" spans="4:11" ns3:dyDescent="0.2">
      <c r="D15">
        <v>41</v>
      </c>
      <c r="E15">
        <v>0</v>
      </c>
      <c r="F15" s="1">
        <v>24902</v>
      </c>
      <c r="G15">
        <v>83.9</v>
      </c>
      <c r="H15" t="s">
        <v>7</v>
      </c>
      <c r="I15" s="1">
        <v>85000</v>
      </c>
      <c r="J15">
        <v>0</v>
      </c>
      <c r="K15">
        <v>0</v>
      </c>
    </row>
    <row r="16" spans="4:11" ns3:dyDescent="0.2">
      <c r="D16">
        <v>42</v>
      </c>
      <c r="E16">
        <v>0</v>
      </c>
      <c r="F16" s="1">
        <v>25599</v>
      </c>
      <c r="G16">
        <v>86.25</v>
      </c>
      <c r="H16" t="s">
        <v>7</v>
      </c>
      <c r="I16" s="1">
        <v>85000</v>
      </c>
      <c r="J16">
        <v>0</v>
      </c>
      <c r="K16">
        <v>0</v>
      </c>
    </row>
    <row r="17" spans="4:11" ns3:dyDescent="0.2">
      <c r="D17">
        <v>43</v>
      </c>
      <c r="E17">
        <v>0</v>
      </c>
      <c r="F17" s="1">
        <v>26308</v>
      </c>
      <c r="G17">
        <v>88.64</v>
      </c>
      <c r="H17" t="s">
        <v>7</v>
      </c>
      <c r="I17" s="1">
        <v>85000</v>
      </c>
      <c r="J17">
        <v>0</v>
      </c>
      <c r="K17">
        <v>0</v>
      </c>
    </row>
    <row r="18" spans="4:11" ns3:dyDescent="0.2">
      <c r="D18">
        <v>44</v>
      </c>
      <c r="E18">
        <v>0</v>
      </c>
      <c r="F18" s="1">
        <v>28455</v>
      </c>
      <c r="G18">
        <v>95.87</v>
      </c>
      <c r="H18" t="s">
        <v>7</v>
      </c>
      <c r="I18" s="1">
        <v>85000</v>
      </c>
      <c r="J18">
        <v>0</v>
      </c>
      <c r="K18">
        <v>0</v>
      </c>
    </row>
    <row r="19" spans="4:11" ns3:dyDescent="0.2">
      <c r="D19">
        <v>45</v>
      </c>
      <c r="E19">
        <v>0</v>
      </c>
      <c r="F19" s="1">
        <v>29231</v>
      </c>
      <c r="G19">
        <v>98.48</v>
      </c>
      <c r="H19" t="s">
        <v>7</v>
      </c>
      <c r="I19" s="1">
        <v>85000</v>
      </c>
      <c r="J19">
        <v>0</v>
      </c>
      <c r="K19">
        <v>0</v>
      </c>
    </row>
    <row r="20" spans="4:11" ns3:dyDescent="0.2">
      <c r="D20">
        <v>46</v>
      </c>
      <c r="E20">
        <v>0</v>
      </c>
      <c r="F20" s="1">
        <v>30019</v>
      </c>
      <c r="G20">
        <v>101.14</v>
      </c>
      <c r="H20" t="s">
        <v>7</v>
      </c>
      <c r="I20" s="1">
        <v>85000</v>
      </c>
      <c r="J20">
        <v>0</v>
      </c>
      <c r="K20">
        <v>0</v>
      </c>
    </row>
    <row r="21" spans="4:11" ns3:dyDescent="0.2">
      <c r="D21">
        <v>47</v>
      </c>
      <c r="E21">
        <v>0</v>
      </c>
      <c r="F21" s="1">
        <v>30822</v>
      </c>
      <c r="G21">
        <v>103.85</v>
      </c>
      <c r="H21" t="s">
        <v>7</v>
      </c>
      <c r="I21" s="1">
        <v>85000</v>
      </c>
      <c r="J21">
        <v>0</v>
      </c>
      <c r="K21">
        <v>0</v>
      </c>
    </row>
    <row r="22" spans="4:11" ns3:dyDescent="0.2">
      <c r="D22">
        <v>48</v>
      </c>
      <c r="E22">
        <v>0</v>
      </c>
      <c r="F22" s="1">
        <v>31637</v>
      </c>
      <c r="G22">
        <v>106.59</v>
      </c>
      <c r="H22" t="s">
        <v>7</v>
      </c>
      <c r="I22" s="1">
        <v>85000</v>
      </c>
      <c r="J22">
        <v>0</v>
      </c>
      <c r="K22">
        <v>0</v>
      </c>
    </row>
    <row r="23" spans="4:11" ns3:dyDescent="0.2">
      <c r="D23">
        <v>49</v>
      </c>
      <c r="E23">
        <v>0</v>
      </c>
      <c r="F23" s="1">
        <v>32465</v>
      </c>
      <c r="G23">
        <v>109.38</v>
      </c>
      <c r="H23" t="s">
        <v>7</v>
      </c>
      <c r="I23" s="1">
        <v>85000</v>
      </c>
      <c r="J23">
        <v>0</v>
      </c>
      <c r="K23">
        <v>0</v>
      </c>
    </row>
    <row r="24" spans="4:11" ns3:dyDescent="0.2">
      <c r="D24">
        <v>50</v>
      </c>
      <c r="E24">
        <v>0</v>
      </c>
      <c r="F24" s="1">
        <v>33306</v>
      </c>
      <c r="G24">
        <v>112.21</v>
      </c>
      <c r="H24" t="s">
        <v>7</v>
      </c>
      <c r="I24" s="1">
        <v>85000</v>
      </c>
      <c r="J24">
        <v>0</v>
      </c>
      <c r="K24">
        <v>0</v>
      </c>
    </row>
    <row r="25" spans="4:11" ns3:dyDescent="0.2">
      <c r="D25">
        <v>51</v>
      </c>
      <c r="E25">
        <v>0</v>
      </c>
      <c r="F25" s="1">
        <v>34157</v>
      </c>
      <c r="G25">
        <v>115.08</v>
      </c>
      <c r="H25" t="s">
        <v>7</v>
      </c>
      <c r="I25" s="1">
        <v>85000</v>
      </c>
      <c r="J25">
        <v>0</v>
      </c>
      <c r="K25">
        <v>0</v>
      </c>
    </row>
    <row r="26" spans="4:11" ns3:dyDescent="0.2">
      <c r="D26">
        <v>52</v>
      </c>
      <c r="E26">
        <v>0</v>
      </c>
      <c r="F26" s="1">
        <v>35022</v>
      </c>
      <c r="G26">
        <v>118</v>
      </c>
      <c r="H26" t="s">
        <v>7</v>
      </c>
      <c r="I26" s="1">
        <v>85000</v>
      </c>
      <c r="J26">
        <v>0</v>
      </c>
      <c r="K26">
        <v>0</v>
      </c>
    </row>
    <row r="27" spans="4:11" ns3:dyDescent="0.2">
      <c r="D27">
        <v>53</v>
      </c>
      <c r="E27">
        <v>0</v>
      </c>
      <c r="F27" s="1">
        <v>35896</v>
      </c>
      <c r="G27">
        <v>120.94</v>
      </c>
      <c r="H27" t="s">
        <v>7</v>
      </c>
      <c r="I27" s="1">
        <v>85000</v>
      </c>
      <c r="J27">
        <v>0</v>
      </c>
      <c r="K27">
        <v>0</v>
      </c>
    </row>
    <row r="28" spans="4:11" ns3:dyDescent="0.2">
      <c r="D28">
        <v>54</v>
      </c>
      <c r="E28">
        <v>0</v>
      </c>
      <c r="F28" s="1">
        <v>36782</v>
      </c>
      <c r="G28">
        <v>123.93</v>
      </c>
      <c r="H28" t="s">
        <v>7</v>
      </c>
      <c r="I28" s="1">
        <v>85000</v>
      </c>
      <c r="J28">
        <v>0</v>
      </c>
      <c r="K28">
        <v>0</v>
      </c>
    </row>
    <row r="29" spans="4:11" ns3:dyDescent="0.2">
      <c r="D29">
        <v>55</v>
      </c>
      <c r="E29">
        <v>0</v>
      </c>
      <c r="F29" s="1">
        <v>37677</v>
      </c>
      <c r="G29">
        <v>126.94</v>
      </c>
      <c r="H29" t="s">
        <v>7</v>
      </c>
      <c r="I29" s="1">
        <v>85000</v>
      </c>
      <c r="J29">
        <v>0</v>
      </c>
      <c r="K29">
        <v>0</v>
      </c>
    </row>
    <row r="30" spans="4:11" ns3:dyDescent="0.2">
      <c r="D30">
        <v>56</v>
      </c>
      <c r="E30">
        <v>0</v>
      </c>
      <c r="F30" s="1">
        <v>38582</v>
      </c>
      <c r="G30">
        <v>129.99</v>
      </c>
      <c r="H30" t="s">
        <v>7</v>
      </c>
      <c r="I30" s="1">
        <v>85000</v>
      </c>
      <c r="J30">
        <v>0</v>
      </c>
      <c r="K30">
        <v>0</v>
      </c>
    </row>
    <row r="31" spans="4:11" ns3:dyDescent="0.2">
      <c r="D31">
        <v>57</v>
      </c>
      <c r="E31">
        <v>0</v>
      </c>
      <c r="F31" s="1">
        <v>39495</v>
      </c>
      <c r="G31">
        <v>133.07</v>
      </c>
      <c r="H31" t="s">
        <v>7</v>
      </c>
      <c r="I31" s="1">
        <v>85000</v>
      </c>
      <c r="J31">
        <v>0</v>
      </c>
      <c r="K31">
        <v>0</v>
      </c>
    </row>
    <row r="32" spans="4:11" ns3:dyDescent="0.2">
      <c r="D32">
        <v>58</v>
      </c>
      <c r="E32">
        <v>0</v>
      </c>
      <c r="F32" s="1">
        <v>40418</v>
      </c>
      <c r="G32">
        <v>136.16999999999999</v>
      </c>
      <c r="H32" t="s">
        <v>7</v>
      </c>
      <c r="I32" s="1">
        <v>85000</v>
      </c>
      <c r="J32">
        <v>0</v>
      </c>
      <c r="K32">
        <v>0</v>
      </c>
    </row>
    <row r="33" spans="3:11" ns3:dyDescent="0.2">
      <c r="D33">
        <v>59</v>
      </c>
      <c r="E33">
        <v>0</v>
      </c>
      <c r="F33" s="1">
        <v>41347</v>
      </c>
      <c r="G33">
        <v>139.31</v>
      </c>
      <c r="H33" t="s">
        <v>7</v>
      </c>
      <c r="I33" s="1">
        <v>85000</v>
      </c>
      <c r="J33">
        <v>0</v>
      </c>
      <c r="K33">
        <v>0</v>
      </c>
    </row>
    <row r="34" spans="3:11" ns3:dyDescent="0.2">
      <c r="D34">
        <v>60</v>
      </c>
      <c r="E34">
        <v>0</v>
      </c>
      <c r="F34" s="1">
        <v>42282</v>
      </c>
      <c r="G34">
        <v>142.46</v>
      </c>
      <c r="H34" t="s">
        <v>7</v>
      </c>
      <c r="I34" s="1">
        <v>85000</v>
      </c>
      <c r="J34">
        <v>0</v>
      </c>
      <c r="K34">
        <v>0</v>
      </c>
    </row>
    <row r="37" spans="3:11" ns3:dyDescent="0.2">
      <c r="C37">
        <v>1</v>
      </c>
      <c r="D37" s="1">
        <v>2020</v>
      </c>
      <c r="E37">
        <v>33</v>
      </c>
      <c r="F37" s="1">
        <v>300000</v>
      </c>
      <c r="G37" s="1">
        <v>13232</v>
      </c>
      <c r="H37" s="1">
        <v>13232</v>
      </c>
      <c r="I37">
        <v>0</v>
      </c>
      <c r="J37">
        <v>0</v>
      </c>
      <c r="K37" t="s">
        <v>7</v>
      </c>
    </row>
    <row r="38" spans="3:11" ns3:dyDescent="0.2">
      <c r="C38">
        <v>2</v>
      </c>
      <c r="D38">
        <v>2021</v>
      </c>
      <c r="E38">
        <v>34</v>
      </c>
      <c r="F38" s="1">
        <v>300000</v>
      </c>
      <c r="G38" s="1">
        <v>13232</v>
      </c>
      <c r="H38" s="1">
        <v>26465</v>
      </c>
      <c r="I38" s="1">
        <v>0</v>
      </c>
      <c r="J38" s="1">
        <v>0</v>
      </c>
      <c r="K38" t="s">
        <v>7</v>
      </c>
    </row>
    <row r="39" spans="3:11" ns3:dyDescent="0.2">
      <c r="C39">
        <v>3</v>
      </c>
      <c r="D39">
        <v>2022</v>
      </c>
      <c r="E39">
        <v>35</v>
      </c>
      <c r="F39" s="1">
        <v>300000</v>
      </c>
      <c r="G39" s="1">
        <v>13232</v>
      </c>
      <c r="H39" s="1">
        <v>39697</v>
      </c>
      <c r="I39" s="1">
        <v>13467</v>
      </c>
      <c r="J39" s="1">
        <v>34</v>
      </c>
      <c r="K39" t="s">
        <v>7</v>
      </c>
    </row>
    <row r="40" spans="3:11" ns3:dyDescent="0.2">
      <c r="C40">
        <v>4</v>
      </c>
      <c r="D40">
        <v>2023</v>
      </c>
      <c r="E40">
        <v>36</v>
      </c>
      <c r="F40" s="1">
        <v>300000</v>
      </c>
      <c r="G40" s="1">
        <v>13232</v>
      </c>
      <c r="H40" s="1">
        <v>52930</v>
      </c>
      <c r="I40" s="1">
        <v>21021</v>
      </c>
      <c r="J40" s="1">
        <v>40</v>
      </c>
      <c r="K40" t="s">
        <v>7</v>
      </c>
    </row>
    <row r="41" spans="3:11" ns3:dyDescent="0.2">
      <c r="C41">
        <v>5</v>
      </c>
      <c r="D41">
        <v>2024</v>
      </c>
      <c r="E41">
        <v>37</v>
      </c>
      <c r="F41" s="1">
        <v>300000</v>
      </c>
      <c r="G41" s="1">
        <v>13232</v>
      </c>
      <c r="H41" s="1">
        <v>66162</v>
      </c>
      <c r="I41" s="1">
        <v>29139</v>
      </c>
      <c r="J41" s="1">
        <v>44</v>
      </c>
      <c r="K41" t="s">
        <v>7</v>
      </c>
    </row>
    <row r="42" spans="3:11" ns3:dyDescent="0.2">
      <c r="C42">
        <v>6</v>
      </c>
      <c r="D42">
        <v>2025</v>
      </c>
      <c r="E42">
        <v>38</v>
      </c>
      <c r="F42" s="1">
        <v>300000</v>
      </c>
      <c r="G42" s="1">
        <v>13232</v>
      </c>
      <c r="H42" s="1">
        <v>79395</v>
      </c>
      <c r="I42" s="1">
        <v>37842</v>
      </c>
      <c r="J42" s="1">
        <v>48</v>
      </c>
      <c r="K42" t="s">
        <v>7</v>
      </c>
    </row>
    <row r="43" spans="3:11" ns3:dyDescent="0.2">
      <c r="C43">
        <v>7</v>
      </c>
      <c r="D43">
        <v>2026</v>
      </c>
      <c r="E43">
        <v>39</v>
      </c>
      <c r="F43" s="1">
        <v>300000</v>
      </c>
      <c r="G43" s="1">
        <v>13232</v>
      </c>
      <c r="H43" s="1">
        <v>92627</v>
      </c>
      <c r="I43" s="1">
        <v>47157</v>
      </c>
      <c r="J43" s="1">
        <v>51</v>
      </c>
      <c r="K43" t="s">
        <v>7</v>
      </c>
    </row>
    <row r="44" spans="3:11" ns3:dyDescent="0.2">
      <c r="C44">
        <v>8</v>
      </c>
      <c r="D44">
        <v>2027</v>
      </c>
      <c r="E44">
        <v>40</v>
      </c>
      <c r="F44" s="1">
        <v>300000</v>
      </c>
      <c r="G44" s="1">
        <v>13232</v>
      </c>
      <c r="H44" s="1">
        <v>105860</v>
      </c>
      <c r="I44" s="1">
        <v>57108</v>
      </c>
      <c r="J44" s="1">
        <v>54</v>
      </c>
      <c r="K44" t="s">
        <v>7</v>
      </c>
    </row>
    <row r="45" spans="3:11" ns3:dyDescent="0.2">
      <c r="C45">
        <v>9</v>
      </c>
      <c r="D45">
        <v>2028</v>
      </c>
      <c r="E45">
        <v>41</v>
      </c>
      <c r="F45" s="1">
        <v>300000</v>
      </c>
      <c r="G45" s="1">
        <v>13232</v>
      </c>
      <c r="H45" s="1">
        <v>119092</v>
      </c>
      <c r="I45" s="1">
        <v>67719</v>
      </c>
      <c r="J45" s="1">
        <v>57</v>
      </c>
      <c r="K45" t="s">
        <v>7</v>
      </c>
    </row>
    <row r="46" spans="3:11" ns3:dyDescent="0.2">
      <c r="C46">
        <v>10</v>
      </c>
      <c r="D46">
        <v>2029</v>
      </c>
      <c r="E46">
        <v>42</v>
      </c>
      <c r="F46" s="1">
        <v>300000</v>
      </c>
      <c r="G46" s="1">
        <v>13232</v>
      </c>
      <c r="H46" s="1">
        <v>132325</v>
      </c>
      <c r="I46" s="1">
        <v>79026</v>
      </c>
      <c r="J46" s="1">
        <v>60</v>
      </c>
      <c r="K46" t="s">
        <v>7</v>
      </c>
    </row>
    <row r="47" spans="3:11" ns3:dyDescent="0.2">
      <c r="C47">
        <v>11</v>
      </c>
      <c r="D47">
        <v>2030</v>
      </c>
      <c r="E47">
        <v>43</v>
      </c>
      <c r="F47" s="1">
        <v>300000</v>
      </c>
      <c r="G47" s="1">
        <v>11672</v>
      </c>
      <c r="H47" s="1">
        <v>143997</v>
      </c>
      <c r="I47" s="1">
        <v>80862</v>
      </c>
      <c r="J47" s="1">
        <v>56</v>
      </c>
      <c r="K47" t="s">
        <v>7</v>
      </c>
    </row>
    <row r="48" spans="3:11" ns3:dyDescent="0.2">
      <c r="C48">
        <v>12</v>
      </c>
      <c r="D48">
        <v>2031</v>
      </c>
      <c r="E48">
        <v>44</v>
      </c>
      <c r="F48" s="1">
        <v>300000</v>
      </c>
      <c r="G48" s="1">
        <v>11672</v>
      </c>
      <c r="H48" s="1">
        <v>155670</v>
      </c>
      <c r="I48" s="1">
        <v>98073</v>
      </c>
      <c r="J48" s="1">
        <v>63</v>
      </c>
      <c r="K48" t="s">
        <v>7</v>
      </c>
    </row>
    <row r="49" spans="3:11" ns3:dyDescent="0.2">
      <c r="C49">
        <v>13</v>
      </c>
      <c r="D49">
        <v>2032</v>
      </c>
      <c r="E49">
        <v>45</v>
      </c>
      <c r="F49" s="1">
        <v>300000</v>
      </c>
      <c r="G49" s="1">
        <v>11672</v>
      </c>
      <c r="H49" s="1">
        <v>167342</v>
      </c>
      <c r="I49" s="1">
        <v>115815</v>
      </c>
      <c r="J49" s="1">
        <v>69</v>
      </c>
      <c r="K49" t="s">
        <v>7</v>
      </c>
    </row>
    <row r="50" spans="3:11" ns3:dyDescent="0.2">
      <c r="C50">
        <v>14</v>
      </c>
      <c r="D50">
        <v>2033</v>
      </c>
      <c r="E50">
        <v>46</v>
      </c>
      <c r="F50" s="1">
        <v>300000</v>
      </c>
      <c r="G50" s="1">
        <v>11672</v>
      </c>
      <c r="H50" s="1">
        <v>179015</v>
      </c>
      <c r="I50" s="1">
        <v>134118</v>
      </c>
      <c r="J50" s="1">
        <v>75</v>
      </c>
      <c r="K50" t="s">
        <v>7</v>
      </c>
    </row>
    <row r="51" spans="3:11" ns3:dyDescent="0.2">
      <c r="C51">
        <v>15</v>
      </c>
      <c r="D51">
        <v>2034</v>
      </c>
      <c r="E51">
        <v>47</v>
      </c>
      <c r="F51" s="1">
        <v>300000</v>
      </c>
      <c r="G51" s="1">
        <v>11672</v>
      </c>
      <c r="H51" s="1">
        <v>190687</v>
      </c>
      <c r="I51" s="1">
        <v>154044</v>
      </c>
      <c r="J51" s="1">
        <v>81</v>
      </c>
      <c r="K51" t="s">
        <v>7</v>
      </c>
    </row>
    <row r="52" spans="3:11" ns3:dyDescent="0.2">
      <c r="C52">
        <v>16</v>
      </c>
      <c r="D52">
        <v>2035</v>
      </c>
      <c r="E52">
        <v>48</v>
      </c>
      <c r="F52" s="1">
        <v>300000</v>
      </c>
      <c r="G52" s="1">
        <v>0</v>
      </c>
      <c r="H52" s="1">
        <v>190687</v>
      </c>
      <c r="I52" s="1">
        <v>160647</v>
      </c>
      <c r="J52" s="1">
        <v>84</v>
      </c>
      <c r="K52" t="s">
        <v>7</v>
      </c>
    </row>
    <row r="53" spans="3:11" ns3:dyDescent="0.2">
      <c r="C53">
        <v>17</v>
      </c>
      <c r="D53">
        <v>2036</v>
      </c>
      <c r="E53">
        <v>49</v>
      </c>
      <c r="F53" s="1">
        <v>300000</v>
      </c>
      <c r="G53" s="1">
        <v>0</v>
      </c>
      <c r="H53" s="1">
        <v>190687</v>
      </c>
      <c r="I53" s="1">
        <v>167433</v>
      </c>
      <c r="J53" s="1">
        <v>88</v>
      </c>
      <c r="K53" t="s">
        <v>7</v>
      </c>
    </row>
    <row r="54" spans="3:11" ns3:dyDescent="0.2">
      <c r="C54">
        <v>18</v>
      </c>
      <c r="D54">
        <v>2037</v>
      </c>
      <c r="E54">
        <v>50</v>
      </c>
      <c r="F54" s="1">
        <v>300000</v>
      </c>
      <c r="G54" s="1">
        <v>0</v>
      </c>
      <c r="H54" s="1">
        <v>190687</v>
      </c>
      <c r="I54" s="1">
        <v>174405</v>
      </c>
      <c r="J54">
        <v>91</v>
      </c>
      <c r="K54" t="s">
        <v>7</v>
      </c>
    </row>
    <row r="55" spans="3:11" ns3:dyDescent="0.2">
      <c r="C55">
        <v>19</v>
      </c>
      <c r="D55">
        <v>2038</v>
      </c>
      <c r="E55">
        <v>51</v>
      </c>
      <c r="F55" s="1">
        <v>300000</v>
      </c>
      <c r="G55" s="1">
        <v>0</v>
      </c>
      <c r="H55" s="1">
        <v>190687</v>
      </c>
      <c r="I55" s="1">
        <v>181572</v>
      </c>
      <c r="J55">
        <v>95</v>
      </c>
      <c r="K55" t="s">
        <v>7</v>
      </c>
    </row>
    <row r="56" spans="3:11" ns3:dyDescent="0.2">
      <c r="C56">
        <v>20</v>
      </c>
      <c r="D56">
        <v>2039</v>
      </c>
      <c r="E56">
        <v>52</v>
      </c>
      <c r="F56" s="1">
        <v>300000</v>
      </c>
      <c r="G56" s="1">
        <v>0</v>
      </c>
      <c r="H56" s="1">
        <v>190687</v>
      </c>
      <c r="I56" s="1">
        <v>188949</v>
      </c>
      <c r="J56">
        <v>99</v>
      </c>
      <c r="K56" t="s">
        <v>7</v>
      </c>
    </row>
    <row r="57" spans="3:11" ns3:dyDescent="0.2">
      <c r="C57">
        <v>21</v>
      </c>
      <c r="D57">
        <v>2040</v>
      </c>
      <c r="E57">
        <v>53</v>
      </c>
      <c r="F57" s="1">
        <v>300000</v>
      </c>
      <c r="G57">
        <v>0</v>
      </c>
      <c r="H57" s="1">
        <v>190687</v>
      </c>
      <c r="I57" s="1">
        <v>196542</v>
      </c>
      <c r="J57">
        <v>103</v>
      </c>
      <c r="K57" t="s">
        <v>7</v>
      </c>
    </row>
    <row r="58" spans="3:11" ns3:dyDescent="0.2">
      <c r="C58">
        <v>22</v>
      </c>
      <c r="D58">
        <v>2041</v>
      </c>
      <c r="E58">
        <v>54</v>
      </c>
      <c r="F58" s="1">
        <v>300000</v>
      </c>
      <c r="G58">
        <v>0</v>
      </c>
      <c r="H58" s="1">
        <v>190687</v>
      </c>
      <c r="I58" s="1">
        <v>204366</v>
      </c>
      <c r="J58">
        <v>107</v>
      </c>
      <c r="K58" t="s">
        <v>7</v>
      </c>
    </row>
    <row r="59" spans="3:11" ns3:dyDescent="0.2">
      <c r="C59">
        <v>23</v>
      </c>
      <c r="D59">
        <v>2042</v>
      </c>
      <c r="E59">
        <v>55</v>
      </c>
      <c r="F59" s="1">
        <v>300000</v>
      </c>
      <c r="G59">
        <v>0</v>
      </c>
      <c r="H59" s="1">
        <v>190687</v>
      </c>
      <c r="I59" s="1">
        <v>212442</v>
      </c>
      <c r="J59">
        <v>111</v>
      </c>
      <c r="K59" t="s">
        <v>7</v>
      </c>
    </row>
    <row r="60" spans="3:11" ns3:dyDescent="0.2">
      <c r="C60">
        <v>24</v>
      </c>
      <c r="D60">
        <v>2043</v>
      </c>
      <c r="E60">
        <v>56</v>
      </c>
      <c r="F60" s="1">
        <v>300000</v>
      </c>
      <c r="G60">
        <v>0</v>
      </c>
      <c r="H60" s="1">
        <v>190687</v>
      </c>
      <c r="I60" s="1">
        <v>220779</v>
      </c>
      <c r="J60">
        <v>116</v>
      </c>
      <c r="K60" t="s">
        <v>7</v>
      </c>
    </row>
    <row r="61" spans="3:11" ns3:dyDescent="0.2">
      <c r="C61">
        <v>25</v>
      </c>
      <c r="D61">
        <v>2044</v>
      </c>
      <c r="E61">
        <v>57</v>
      </c>
      <c r="F61" s="1">
        <v>300000</v>
      </c>
      <c r="G61">
        <v>0</v>
      </c>
      <c r="H61" s="1">
        <v>190687</v>
      </c>
      <c r="I61" s="1">
        <v>229398</v>
      </c>
      <c r="J61">
        <v>120</v>
      </c>
      <c r="K61" t="s">
        <v>7</v>
      </c>
    </row>
    <row r="62" spans="3:11" ns3:dyDescent="0.2">
      <c r="C62">
        <v>26</v>
      </c>
      <c r="D62">
        <v>2045</v>
      </c>
      <c r="E62">
        <v>58</v>
      </c>
      <c r="F62" s="1">
        <v>300000</v>
      </c>
      <c r="G62">
        <v>0</v>
      </c>
      <c r="H62" s="1">
        <v>190687</v>
      </c>
      <c r="I62" s="1">
        <v>238326</v>
      </c>
      <c r="J62">
        <v>125</v>
      </c>
      <c r="K62" t="s">
        <v>7</v>
      </c>
    </row>
    <row r="63" spans="3:11" ns3:dyDescent="0.2">
      <c r="C63">
        <v>27</v>
      </c>
      <c r="D63">
        <v>2046</v>
      </c>
      <c r="E63">
        <v>59</v>
      </c>
      <c r="F63" s="1">
        <v>300000</v>
      </c>
      <c r="G63">
        <v>0</v>
      </c>
      <c r="H63" s="1">
        <v>190687</v>
      </c>
      <c r="I63" s="1">
        <v>247581</v>
      </c>
      <c r="J63">
        <v>130</v>
      </c>
      <c r="K63" t="s">
        <v>7</v>
      </c>
    </row>
    <row r="64" spans="3:11" ns3:dyDescent="0.2">
      <c r="C64">
        <v>28</v>
      </c>
      <c r="D64">
        <v>2047</v>
      </c>
      <c r="E64">
        <v>60</v>
      </c>
      <c r="F64" s="1">
        <v>300000</v>
      </c>
      <c r="G64">
        <v>0</v>
      </c>
      <c r="H64" s="1">
        <v>190687</v>
      </c>
      <c r="I64" s="1">
        <v>257199</v>
      </c>
      <c r="J64">
        <v>135</v>
      </c>
      <c r="K64" t="s">
        <v>7</v>
      </c>
    </row>
    <row r="65" spans="3:11" ns3:dyDescent="0.2">
      <c r="C65">
        <v>29</v>
      </c>
      <c r="D65">
        <v>2048</v>
      </c>
      <c r="E65">
        <v>61</v>
      </c>
      <c r="F65" s="1">
        <v>300000</v>
      </c>
      <c r="G65">
        <v>0</v>
      </c>
      <c r="H65" s="1">
        <v>190687</v>
      </c>
      <c r="I65" s="1">
        <v>267207</v>
      </c>
      <c r="J65">
        <v>140</v>
      </c>
      <c r="K65" t="s">
        <v>7</v>
      </c>
    </row>
    <row r="66" spans="3:11" ns3:dyDescent="0.2">
      <c r="C66">
        <v>30</v>
      </c>
      <c r="D66">
        <v>2049</v>
      </c>
      <c r="E66">
        <v>62</v>
      </c>
      <c r="F66" s="1">
        <v>300000</v>
      </c>
      <c r="G66">
        <v>0</v>
      </c>
      <c r="H66" s="1">
        <v>190687</v>
      </c>
      <c r="I66" s="1">
        <v>277644</v>
      </c>
      <c r="J66">
        <v>146</v>
      </c>
      <c r="K66" t="s">
        <v>7</v>
      </c>
    </row>
    <row r="67" spans="3:11" ns3:dyDescent="0.2">
      <c r="C67">
        <v>31</v>
      </c>
      <c r="D67">
        <v>2050</v>
      </c>
      <c r="E67">
        <v>63</v>
      </c>
      <c r="F67" s="1">
        <v>300000</v>
      </c>
      <c r="G67">
        <v>0</v>
      </c>
      <c r="H67" s="1">
        <v>190687</v>
      </c>
      <c r="I67" s="1">
        <v>288561</v>
      </c>
      <c r="J67">
        <v>151</v>
      </c>
      <c r="K67" t="s">
        <v>7</v>
      </c>
    </row>
    <row r="68" spans="3:11" ns3:dyDescent="0.2">
      <c r="C68">
        <v>32</v>
      </c>
      <c r="D68">
        <v>2051</v>
      </c>
      <c r="E68">
        <v>64</v>
      </c>
      <c r="F68" s="1">
        <v>300000</v>
      </c>
      <c r="G68">
        <v>0</v>
      </c>
      <c r="H68" s="1">
        <v>190687</v>
      </c>
      <c r="I68" s="1">
        <v>300000</v>
      </c>
      <c r="J68">
        <v>157</v>
      </c>
      <c r="K68" t="s">
        <v>7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A894B4DD-BCCA-EE4D-9BB6-92EF16F119E7}">
  <dimension ref="A1:H11"/>
  <sheetViews>
    <sheetView workbookViewId="0">
      <selection activeCell="G11" sqref="G11"/>
    </sheetView>
  </sheetViews>
  <sheetFormatPr defaultColWidth="10.89453125" defaultRowHeight="15" ns3:dyDescent="0.2"/>
  <sheetData>
    <row r="1" spans="1:8" ns3:dyDescent="0.2">
      <c r="B1" t="s">
        <v>65</v>
      </c>
      <c r="D1" t="s">
        <v>66</v>
      </c>
    </row>
    <row r="2" spans="1:8" ns3:dyDescent="0.2">
      <c r="A2" t="s">
        <v>59</v>
      </c>
      <c r="B2">
        <v>3</v>
      </c>
      <c r="C2">
        <v>60000</v>
      </c>
    </row>
    <row r="3" spans="1:8" ns3:dyDescent="0.2">
      <c r="A3" t="s">
        <v>60</v>
      </c>
      <c r="B3">
        <v>2</v>
      </c>
      <c r="C3">
        <v>50000</v>
      </c>
    </row>
    <row r="4" spans="1:8" ns3:dyDescent="0.2">
      <c r="A4" t="s">
        <v>61</v>
      </c>
      <c r="B4">
        <v>1</v>
      </c>
      <c r="C4">
        <v>20000</v>
      </c>
    </row>
    <row r="5" spans="1:8" ns3:dyDescent="0.2">
      <c r="A5" t="s">
        <v>62</v>
      </c>
      <c r="B5">
        <v>2</v>
      </c>
      <c r="C5">
        <v>40000</v>
      </c>
      <c r="D5">
        <v>1</v>
      </c>
      <c r="E5">
        <v>20</v>
      </c>
      <c r="G5">
        <f>16000/1.03</f>
        <v>15533.980582524271</v>
      </c>
    </row>
    <row r="6" spans="1:8" ns3:dyDescent="0.2">
      <c r="A6" t="s">
        <v>63</v>
      </c>
      <c r="B6">
        <v>3</v>
      </c>
      <c r="C6">
        <v>45000</v>
      </c>
    </row>
    <row r="7" spans="1:8" ns3:dyDescent="0.2">
      <c r="A7" t="s">
        <v>64</v>
      </c>
      <c r="B7">
        <v>3</v>
      </c>
      <c r="C7">
        <v>60000</v>
      </c>
    </row>
    <row r="10" spans="1:8" ns3:dyDescent="0.2">
      <c r="G10" t="s">
        <v>67</v>
      </c>
      <c r="H10">
        <v>100</v>
      </c>
    </row>
    <row r="11" spans="1:8" ns3:dyDescent="0.2">
      <c r="G11">
        <v>16000</v>
      </c>
      <c r="H11">
        <v>30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600-000000000000}">
  <dimension ref="E4:M35"/>
  <sheetViews>
    <sheetView topLeftCell="E2" workbookViewId="0">
      <selection activeCell="D24" sqref="D24"/>
    </sheetView>
  </sheetViews>
  <sheetFormatPr defaultColWidth="10.89453125" defaultRowHeight="15" ns3:dyDescent="0.2"/>
  <sheetData>
    <row r="4" spans="5:13" ns3:dyDescent="0.2">
      <c r="E4">
        <v>1</v>
      </c>
      <c r="F4">
        <v>2020</v>
      </c>
      <c r="G4">
        <v>33</v>
      </c>
      <c r="H4" s="1">
        <v>550000</v>
      </c>
      <c r="I4" s="1">
        <v>13070</v>
      </c>
      <c r="J4" s="1">
        <v>13070</v>
      </c>
      <c r="K4">
        <v>0</v>
      </c>
      <c r="L4">
        <v>0</v>
      </c>
      <c r="M4" t="s">
        <v>7</v>
      </c>
    </row>
    <row r="5" spans="5:13" ns3:dyDescent="0.2">
      <c r="E5">
        <v>2</v>
      </c>
      <c r="F5">
        <v>2021</v>
      </c>
      <c r="G5">
        <v>34</v>
      </c>
      <c r="H5" s="1">
        <v>550000</v>
      </c>
      <c r="I5" s="1">
        <v>13070</v>
      </c>
      <c r="J5" s="1">
        <v>26140</v>
      </c>
      <c r="K5">
        <v>0</v>
      </c>
      <c r="L5">
        <v>0</v>
      </c>
      <c r="M5" t="s">
        <v>7</v>
      </c>
    </row>
    <row r="6" spans="5:13" ns3:dyDescent="0.2">
      <c r="E6">
        <v>3</v>
      </c>
      <c r="F6">
        <v>2022</v>
      </c>
      <c r="G6">
        <v>35</v>
      </c>
      <c r="H6" s="1">
        <v>550000</v>
      </c>
      <c r="I6" s="1">
        <v>13070</v>
      </c>
      <c r="J6" s="1">
        <v>39210</v>
      </c>
      <c r="K6" s="1">
        <v>13987</v>
      </c>
      <c r="L6">
        <v>36</v>
      </c>
      <c r="M6" t="s">
        <v>7</v>
      </c>
    </row>
    <row r="7" spans="5:13" ns3:dyDescent="0.2">
      <c r="E7">
        <v>4</v>
      </c>
      <c r="F7">
        <v>2023</v>
      </c>
      <c r="G7">
        <v>36</v>
      </c>
      <c r="H7" s="1">
        <v>550000</v>
      </c>
      <c r="I7" s="1">
        <v>13070</v>
      </c>
      <c r="J7" s="1">
        <v>52280</v>
      </c>
      <c r="K7" s="1">
        <v>21868</v>
      </c>
      <c r="L7">
        <v>42</v>
      </c>
      <c r="M7" t="s">
        <v>7</v>
      </c>
    </row>
    <row r="8" spans="5:13" ns3:dyDescent="0.2">
      <c r="E8">
        <v>5</v>
      </c>
      <c r="F8">
        <v>2024</v>
      </c>
      <c r="G8">
        <v>37</v>
      </c>
      <c r="H8" s="1">
        <v>550000</v>
      </c>
      <c r="I8" s="1">
        <v>13070</v>
      </c>
      <c r="J8" s="1">
        <v>65350</v>
      </c>
      <c r="K8" s="1">
        <v>30388</v>
      </c>
      <c r="L8">
        <v>46</v>
      </c>
      <c r="M8" t="s">
        <v>7</v>
      </c>
    </row>
    <row r="9" spans="5:13" ns3:dyDescent="0.2">
      <c r="E9">
        <v>6</v>
      </c>
      <c r="F9">
        <v>2025</v>
      </c>
      <c r="G9">
        <v>38</v>
      </c>
      <c r="H9" s="1">
        <v>550000</v>
      </c>
      <c r="I9" s="1">
        <v>13070</v>
      </c>
      <c r="J9" s="1">
        <v>78420</v>
      </c>
      <c r="K9" s="1">
        <v>39545</v>
      </c>
      <c r="L9">
        <v>50</v>
      </c>
      <c r="M9" t="s">
        <v>7</v>
      </c>
    </row>
    <row r="10" spans="5:13" ns3:dyDescent="0.2">
      <c r="E10">
        <v>7</v>
      </c>
      <c r="F10">
        <v>2026</v>
      </c>
      <c r="G10">
        <v>39</v>
      </c>
      <c r="H10" s="1">
        <v>550000</v>
      </c>
      <c r="I10" s="1">
        <v>13070</v>
      </c>
      <c r="J10" s="1">
        <v>91490</v>
      </c>
      <c r="K10" s="1">
        <v>49418</v>
      </c>
      <c r="L10">
        <v>54</v>
      </c>
      <c r="M10" t="s">
        <v>7</v>
      </c>
    </row>
    <row r="11" spans="5:13" ns3:dyDescent="0.2">
      <c r="E11">
        <v>8</v>
      </c>
      <c r="F11">
        <v>2027</v>
      </c>
      <c r="G11">
        <v>40</v>
      </c>
      <c r="H11" s="1">
        <v>550000</v>
      </c>
      <c r="I11" s="1">
        <v>13070</v>
      </c>
      <c r="J11" s="1">
        <v>104559</v>
      </c>
      <c r="K11" s="1">
        <v>59994</v>
      </c>
      <c r="L11">
        <v>57</v>
      </c>
      <c r="M11" t="s">
        <v>7</v>
      </c>
    </row>
    <row r="12" spans="5:13" ns3:dyDescent="0.2">
      <c r="E12">
        <v>9</v>
      </c>
      <c r="F12">
        <v>2028</v>
      </c>
      <c r="G12">
        <v>41</v>
      </c>
      <c r="H12" s="1">
        <v>550000</v>
      </c>
      <c r="I12" s="1">
        <v>13070</v>
      </c>
      <c r="J12" s="1">
        <v>117629</v>
      </c>
      <c r="K12" s="1">
        <v>71324</v>
      </c>
      <c r="L12">
        <v>61</v>
      </c>
      <c r="M12" t="s">
        <v>7</v>
      </c>
    </row>
    <row r="13" spans="5:13" ns3:dyDescent="0.2">
      <c r="E13">
        <v>10</v>
      </c>
      <c r="F13">
        <v>2029</v>
      </c>
      <c r="G13">
        <v>42</v>
      </c>
      <c r="H13" s="1">
        <v>550000</v>
      </c>
      <c r="I13" s="1">
        <v>13070</v>
      </c>
      <c r="J13" s="1">
        <v>130699</v>
      </c>
      <c r="K13" s="1">
        <v>83435</v>
      </c>
      <c r="L13">
        <v>64</v>
      </c>
      <c r="M13" t="s">
        <v>7</v>
      </c>
    </row>
    <row r="14" spans="5:13" ns3:dyDescent="0.2">
      <c r="E14">
        <v>11</v>
      </c>
      <c r="F14">
        <v>2030</v>
      </c>
      <c r="G14">
        <v>43</v>
      </c>
      <c r="H14" s="1">
        <v>550000</v>
      </c>
      <c r="I14" s="1">
        <v>13070</v>
      </c>
      <c r="J14" s="1">
        <v>143769</v>
      </c>
      <c r="K14" s="1">
        <v>96371</v>
      </c>
      <c r="L14">
        <v>67</v>
      </c>
      <c r="M14" t="s">
        <v>7</v>
      </c>
    </row>
    <row r="15" spans="5:13" ns3:dyDescent="0.2">
      <c r="E15">
        <v>12</v>
      </c>
      <c r="F15">
        <v>2031</v>
      </c>
      <c r="G15">
        <v>44</v>
      </c>
      <c r="H15" s="1">
        <v>550000</v>
      </c>
      <c r="I15" s="1">
        <v>13070</v>
      </c>
      <c r="J15" s="1">
        <v>156839</v>
      </c>
      <c r="K15" s="1">
        <v>110160</v>
      </c>
      <c r="L15">
        <v>70</v>
      </c>
      <c r="M15" t="s">
        <v>7</v>
      </c>
    </row>
    <row r="16" spans="5:13" ns3:dyDescent="0.2">
      <c r="E16">
        <v>13</v>
      </c>
      <c r="F16">
        <v>2032</v>
      </c>
      <c r="G16">
        <v>45</v>
      </c>
      <c r="H16" s="1">
        <v>550000</v>
      </c>
      <c r="I16" s="1">
        <v>13070</v>
      </c>
      <c r="J16" s="1">
        <v>169909</v>
      </c>
      <c r="K16" s="1">
        <v>124861</v>
      </c>
      <c r="L16">
        <v>73</v>
      </c>
      <c r="M16" t="s">
        <v>7</v>
      </c>
    </row>
    <row r="17" spans="5:13" ns3:dyDescent="0.2">
      <c r="E17">
        <v>14</v>
      </c>
      <c r="F17">
        <v>2033</v>
      </c>
      <c r="G17">
        <v>46</v>
      </c>
      <c r="H17" s="1">
        <v>550000</v>
      </c>
      <c r="I17" s="1">
        <v>13070</v>
      </c>
      <c r="J17" s="1">
        <v>182979</v>
      </c>
      <c r="K17" s="1">
        <v>140487</v>
      </c>
      <c r="L17">
        <v>77</v>
      </c>
      <c r="M17" t="s">
        <v>7</v>
      </c>
    </row>
    <row r="18" spans="5:13" ns3:dyDescent="0.2">
      <c r="E18">
        <v>15</v>
      </c>
      <c r="F18">
        <v>2034</v>
      </c>
      <c r="G18">
        <v>47</v>
      </c>
      <c r="H18" s="1">
        <v>550000</v>
      </c>
      <c r="I18" s="1">
        <v>13070</v>
      </c>
      <c r="J18" s="1">
        <v>196049</v>
      </c>
      <c r="K18" s="1">
        <v>157130</v>
      </c>
      <c r="L18">
        <v>80</v>
      </c>
      <c r="M18" t="s">
        <v>7</v>
      </c>
    </row>
    <row r="19" spans="5:13" ns3:dyDescent="0.2">
      <c r="E19">
        <v>16</v>
      </c>
      <c r="F19">
        <v>2035</v>
      </c>
      <c r="G19">
        <v>48</v>
      </c>
      <c r="H19" s="1">
        <v>550000</v>
      </c>
      <c r="I19" s="1">
        <v>13070</v>
      </c>
      <c r="J19" s="1">
        <v>209119</v>
      </c>
      <c r="K19" s="1">
        <v>174785</v>
      </c>
      <c r="L19">
        <v>84</v>
      </c>
      <c r="M19" t="s">
        <v>7</v>
      </c>
    </row>
    <row r="20" spans="5:13" ns3:dyDescent="0.2">
      <c r="E20">
        <v>17</v>
      </c>
      <c r="F20">
        <v>2036</v>
      </c>
      <c r="G20">
        <v>49</v>
      </c>
      <c r="H20" s="1">
        <v>550000</v>
      </c>
      <c r="I20" s="1">
        <v>13070</v>
      </c>
      <c r="J20" s="1">
        <v>222189</v>
      </c>
      <c r="K20" s="1">
        <v>193562</v>
      </c>
      <c r="L20">
        <v>87</v>
      </c>
      <c r="M20" t="s">
        <v>7</v>
      </c>
    </row>
    <row r="21" spans="5:13" ns3:dyDescent="0.2">
      <c r="E21">
        <v>18</v>
      </c>
      <c r="F21">
        <v>2037</v>
      </c>
      <c r="G21">
        <v>50</v>
      </c>
      <c r="H21" s="1">
        <v>550000</v>
      </c>
      <c r="I21" s="1">
        <v>13070</v>
      </c>
      <c r="J21" s="1">
        <v>235259</v>
      </c>
      <c r="K21" s="1">
        <v>213477</v>
      </c>
      <c r="L21">
        <v>91</v>
      </c>
      <c r="M21" t="s">
        <v>7</v>
      </c>
    </row>
    <row r="22" spans="5:13" ns3:dyDescent="0.2">
      <c r="E22">
        <v>19</v>
      </c>
      <c r="F22">
        <v>2038</v>
      </c>
      <c r="G22">
        <v>51</v>
      </c>
      <c r="H22" s="1">
        <v>550000</v>
      </c>
      <c r="I22" s="1">
        <v>13070</v>
      </c>
      <c r="J22" s="1">
        <v>248329</v>
      </c>
      <c r="K22" s="1">
        <v>234630</v>
      </c>
      <c r="L22">
        <v>94</v>
      </c>
      <c r="M22" t="s">
        <v>7</v>
      </c>
    </row>
    <row r="23" spans="5:13" ns3:dyDescent="0.2">
      <c r="E23">
        <v>20</v>
      </c>
      <c r="F23">
        <v>2039</v>
      </c>
      <c r="G23">
        <v>52</v>
      </c>
      <c r="H23" s="1">
        <v>550000</v>
      </c>
      <c r="I23" s="1">
        <v>13070</v>
      </c>
      <c r="J23" s="1">
        <v>261399</v>
      </c>
      <c r="K23" s="1">
        <v>257054</v>
      </c>
      <c r="L23">
        <v>98</v>
      </c>
      <c r="M23" t="s">
        <v>7</v>
      </c>
    </row>
    <row r="24" spans="5:13" ns3:dyDescent="0.2">
      <c r="E24">
        <v>21</v>
      </c>
      <c r="F24">
        <v>2040</v>
      </c>
      <c r="G24">
        <v>53</v>
      </c>
      <c r="H24" s="1">
        <v>550000</v>
      </c>
      <c r="I24" s="1">
        <v>13070</v>
      </c>
      <c r="J24" s="1">
        <v>274469</v>
      </c>
      <c r="K24" s="1">
        <v>275990</v>
      </c>
      <c r="L24">
        <v>101</v>
      </c>
      <c r="M24" t="s">
        <v>7</v>
      </c>
    </row>
    <row r="25" spans="5:13" ns3:dyDescent="0.2">
      <c r="E25">
        <v>22</v>
      </c>
      <c r="F25">
        <v>2041</v>
      </c>
      <c r="G25">
        <v>54</v>
      </c>
      <c r="H25" s="1">
        <v>550000</v>
      </c>
      <c r="I25" s="1">
        <v>13070</v>
      </c>
      <c r="J25" s="1">
        <v>287539</v>
      </c>
      <c r="K25" s="1">
        <v>295680</v>
      </c>
      <c r="L25">
        <v>103</v>
      </c>
      <c r="M25" t="s">
        <v>7</v>
      </c>
    </row>
    <row r="26" spans="5:13" ns3:dyDescent="0.2">
      <c r="E26">
        <v>23</v>
      </c>
      <c r="F26">
        <v>2042</v>
      </c>
      <c r="G26">
        <v>55</v>
      </c>
      <c r="H26" s="1">
        <v>550000</v>
      </c>
      <c r="I26" s="1">
        <v>13070</v>
      </c>
      <c r="J26" s="1">
        <v>300608</v>
      </c>
      <c r="K26" s="1">
        <v>316184</v>
      </c>
      <c r="L26">
        <v>105</v>
      </c>
      <c r="M26" t="s">
        <v>7</v>
      </c>
    </row>
    <row r="27" spans="5:13" ns3:dyDescent="0.2">
      <c r="E27">
        <v>24</v>
      </c>
      <c r="F27">
        <v>2043</v>
      </c>
      <c r="G27">
        <v>56</v>
      </c>
      <c r="H27" s="1">
        <v>550000</v>
      </c>
      <c r="I27" s="1">
        <v>13070</v>
      </c>
      <c r="J27" s="1">
        <v>313678</v>
      </c>
      <c r="K27" s="1">
        <v>337552</v>
      </c>
      <c r="L27">
        <v>108</v>
      </c>
      <c r="M27" t="s">
        <v>7</v>
      </c>
    </row>
    <row r="28" spans="5:13" ns3:dyDescent="0.2">
      <c r="E28">
        <v>25</v>
      </c>
      <c r="F28">
        <v>2044</v>
      </c>
      <c r="G28">
        <v>57</v>
      </c>
      <c r="H28" s="1">
        <v>550000</v>
      </c>
      <c r="I28" s="1">
        <v>13070</v>
      </c>
      <c r="J28" s="1">
        <v>326748</v>
      </c>
      <c r="K28" s="1">
        <v>359865</v>
      </c>
      <c r="L28">
        <v>110</v>
      </c>
      <c r="M28" t="s">
        <v>7</v>
      </c>
    </row>
    <row r="29" spans="5:13" ns3:dyDescent="0.2">
      <c r="E29">
        <v>26</v>
      </c>
      <c r="F29">
        <v>2045</v>
      </c>
      <c r="G29">
        <v>58</v>
      </c>
      <c r="H29" s="1">
        <v>550000</v>
      </c>
      <c r="I29" s="1">
        <v>13070</v>
      </c>
      <c r="J29" s="1">
        <v>339818</v>
      </c>
      <c r="K29" s="1">
        <v>383180</v>
      </c>
      <c r="L29">
        <v>113</v>
      </c>
      <c r="M29" t="s">
        <v>7</v>
      </c>
    </row>
    <row r="30" spans="5:13" ns3:dyDescent="0.2">
      <c r="E30">
        <v>27</v>
      </c>
      <c r="F30">
        <v>2046</v>
      </c>
      <c r="G30">
        <v>59</v>
      </c>
      <c r="H30" s="1">
        <v>550000</v>
      </c>
      <c r="I30" s="1">
        <v>13070</v>
      </c>
      <c r="J30" s="1">
        <v>352888</v>
      </c>
      <c r="K30" s="1">
        <v>407567</v>
      </c>
      <c r="L30">
        <v>115</v>
      </c>
      <c r="M30" t="s">
        <v>7</v>
      </c>
    </row>
    <row r="31" spans="5:13" ns3:dyDescent="0.2">
      <c r="E31">
        <v>28</v>
      </c>
      <c r="F31">
        <v>2047</v>
      </c>
      <c r="G31">
        <v>60</v>
      </c>
      <c r="H31" s="1">
        <v>550000</v>
      </c>
      <c r="I31" s="1">
        <v>13070</v>
      </c>
      <c r="J31" s="1">
        <v>365958</v>
      </c>
      <c r="K31" s="1">
        <v>433136</v>
      </c>
      <c r="L31">
        <v>118</v>
      </c>
      <c r="M31" t="s">
        <v>7</v>
      </c>
    </row>
    <row r="32" spans="5:13" ns3:dyDescent="0.2">
      <c r="E32">
        <v>29</v>
      </c>
      <c r="F32">
        <v>2048</v>
      </c>
      <c r="G32">
        <v>61</v>
      </c>
      <c r="H32" s="1">
        <v>550000</v>
      </c>
      <c r="I32" s="1">
        <v>13070</v>
      </c>
      <c r="J32" s="1">
        <v>379028</v>
      </c>
      <c r="K32" s="1">
        <v>460026</v>
      </c>
      <c r="L32">
        <v>121</v>
      </c>
      <c r="M32" t="s">
        <v>7</v>
      </c>
    </row>
    <row r="33" spans="5:13" ns3:dyDescent="0.2">
      <c r="E33">
        <v>30</v>
      </c>
      <c r="F33">
        <v>2049</v>
      </c>
      <c r="G33">
        <v>62</v>
      </c>
      <c r="H33" s="1">
        <v>550000</v>
      </c>
      <c r="I33" s="1">
        <v>13070</v>
      </c>
      <c r="J33" s="1">
        <v>392098</v>
      </c>
      <c r="K33" s="1">
        <v>488356</v>
      </c>
      <c r="L33">
        <v>125</v>
      </c>
      <c r="M33" t="s">
        <v>7</v>
      </c>
    </row>
    <row r="34" spans="5:13" ns3:dyDescent="0.2">
      <c r="E34">
        <v>31</v>
      </c>
      <c r="F34">
        <v>2050</v>
      </c>
      <c r="G34">
        <v>63</v>
      </c>
      <c r="H34" s="1">
        <v>550000</v>
      </c>
      <c r="I34" s="1">
        <v>13070</v>
      </c>
      <c r="J34" s="1">
        <v>405168</v>
      </c>
      <c r="K34" s="1">
        <v>518293</v>
      </c>
      <c r="L34">
        <v>128</v>
      </c>
      <c r="M34" t="s">
        <v>7</v>
      </c>
    </row>
    <row r="35" spans="5:13" ns3:dyDescent="0.2">
      <c r="E35">
        <v>32</v>
      </c>
      <c r="F35">
        <v>2051</v>
      </c>
      <c r="G35">
        <v>64</v>
      </c>
      <c r="H35" s="1">
        <v>550000</v>
      </c>
      <c r="I35" s="1">
        <v>13070</v>
      </c>
      <c r="J35" s="1">
        <v>418238</v>
      </c>
      <c r="K35" s="1">
        <v>550000</v>
      </c>
      <c r="L35">
        <v>132</v>
      </c>
      <c r="M35" t="s">
        <v>7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8FE8750E-2D30-894A-941F-509FF5D86668}">
  <dimension ref="E5:I20"/>
  <sheetViews>
    <sheetView workbookViewId="0">
      <selection activeCell="I18" sqref="I18"/>
    </sheetView>
  </sheetViews>
  <sheetFormatPr defaultColWidth="10.89453125" defaultRowHeight="15" ns3:dyDescent="0.2"/>
  <cols>
    <col min="9" max="9" width="22.05859375" customWidth="1"/>
  </cols>
  <sheetData>
    <row r="5" spans="5:7" ns3:dyDescent="0.2">
      <c r="E5">
        <v>22</v>
      </c>
      <c r="G5">
        <v>49</v>
      </c>
    </row>
    <row r="6" spans="5:7" ns3:dyDescent="0.2">
      <c r="E6" s="94">
        <v>5000</v>
      </c>
      <c r="G6" s="94">
        <v>35000</v>
      </c>
    </row>
    <row r="18" spans="6:9" ns3:dyDescent="0.2">
      <c r="F18">
        <f>49-22</f>
        <v>27</v>
      </c>
      <c r="I18">
        <f>14000000/27</f>
        <v>518518.51851851854</v>
      </c>
    </row>
    <row r="20" spans="6:9" ns3:dyDescent="0.2">
      <c r="G20">
        <f>(35000+5000)/2</f>
        <v>20000</v>
      </c>
      <c r="H20">
        <f>G20*F18</f>
        <v>540000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SB</vt:lpstr>
      <vt:lpstr>VM</vt:lpstr>
      <vt:lpstr>REALIZA</vt:lpstr>
      <vt:lpstr>IMAGINA</vt:lpstr>
      <vt:lpstr>Hoja2</vt:lpstr>
      <vt:lpstr>ORVI</vt:lpstr>
      <vt:lpstr>Hoja5</vt:lpstr>
      <vt:lpstr>Hoja1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Jorge Palacios</cp:lastModifiedBy>
  <cp:lastPrinted>2024-11-04T19:14:17Z</cp:lastPrinted>
  <dcterms:created xsi:type="dcterms:W3CDTF">2018-10-02T16:16:05Z</dcterms:created>
  <dcterms:modified xsi:type="dcterms:W3CDTF">2025-04-16T16:24:52Z</dcterms:modified>
</cp:coreProperties>
</file>